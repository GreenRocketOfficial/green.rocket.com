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43" documentId="13_ncr:1_{CCA05ED5-2A0D-4A8C-B6F5-632FDE30DEDF}" xr6:coauthVersionLast="47" xr6:coauthVersionMax="47" xr10:uidLastSave="{4F1C97B2-E3B6-412E-B2AD-4407A01CDF5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20" l="1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9" i="18"/>
  <c r="G12" i="18"/>
  <c r="G22" i="18"/>
  <c r="G21" i="18"/>
  <c r="G23" i="18"/>
  <c r="G24" i="18"/>
  <c r="G25" i="18"/>
  <c r="G20" i="18"/>
  <c r="G13" i="18"/>
  <c r="G28" i="18"/>
  <c r="G18" i="18"/>
  <c r="G19" i="18"/>
  <c r="G14" i="18"/>
  <c r="G26" i="18"/>
  <c r="G16" i="18"/>
  <c r="G15" i="18"/>
  <c r="G27" i="18"/>
  <c r="G17" i="18"/>
  <c r="E12" i="21"/>
</calcChain>
</file>

<file path=xl/sharedStrings.xml><?xml version="1.0" encoding="utf-8"?>
<sst xmlns="http://schemas.openxmlformats.org/spreadsheetml/2006/main" count="170" uniqueCount="37">
  <si>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</si>
  <si>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</si>
  <si>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</si>
  <si>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</si>
  <si>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</si>
  <si>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</si>
  <si>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</si>
  <si>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</si>
  <si>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</si>
  <si>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</si>
  <si>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</si>
  <si>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</si>
  <si>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</si>
  <si>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</si>
  <si>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</si>
  <si>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</si>
  <si>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</si>
  <si>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</si>
  <si>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</si>
  <si>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</si>
  <si>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</si>
  <si>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</si>
  <si>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</si>
  <si>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</si>
  <si>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</si>
  <si>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</si>
  <si>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</si>
  <si>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</si>
  <si>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</si>
  <si>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</si>
  <si>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</si>
  <si>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</si>
  <si>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Länderspiel</t>
  </si>
  <si>
    <t>Klub-WM</t>
  </si>
  <si>
    <t>Brasilien 2</t>
  </si>
  <si>
    <t>USA 1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</si>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</sst>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9" totalsRowShown="0">
  <autoFilter ref="A11:G29" xr:uid="{C312ECBC-370A-48F5-9745-177D5CBECA62}"/>
  <sortState xmlns:xlrd2="http://schemas.microsoft.com/office/spreadsheetml/2017/richdata2" ref="A12:G29">
    <sortCondition ref="C11:C2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9" totalsRowShown="0">
  <autoFilter ref="A11:G29" xr:uid="{C312ECBC-370A-48F5-9745-177D5CBECA62}"/>
  <sortState xmlns:xlrd2="http://schemas.microsoft.com/office/spreadsheetml/2017/richdata2" ref="A12:G29">
    <sortCondition ref="C11:C2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9"/>
  <sheetViews>
    <sheetView showGridLines="0" tabSelected="1" zoomScaleNormal="100" workbookViewId="0">
      <pane ySplit="11" topLeftCell="A14" activePane="bottomLeft" state="frozen"/>
      <selection pane="bottomLeft" activeCell="A21" sqref="A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31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28</v>
      </c>
      <c r="D13" s="5" t="s">
        <v>29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21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3</v>
      </c>
      <c r="F15">
        <v>2</v>
      </c>
      <c r="G15" s="6">
        <f>ROUND(F15/E15,2)</f>
        <v>0.67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24</v>
      </c>
      <c r="C18" t="s">
        <v>25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20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30</v>
      </c>
      <c r="D20" s="5" t="s">
        <v>31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33</v>
      </c>
      <c r="D21" s="5" t="s">
        <v>20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33</v>
      </c>
      <c r="D22" s="5" t="s">
        <v>31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32</v>
      </c>
      <c r="D23" s="5" t="s">
        <v>20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32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32</v>
      </c>
      <c r="D25" s="5" t="s">
        <v>29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19</v>
      </c>
      <c r="D26" s="5" t="s">
        <v>20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16</v>
      </c>
      <c r="D27" s="5" t="s">
        <v>17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26</v>
      </c>
      <c r="D28" s="5" t="s">
        <v>27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35</v>
      </c>
      <c r="D29" s="5" t="s">
        <v>14</v>
      </c>
      <c r="E29">
        <v>1</v>
      </c>
      <c r="F29">
        <v>0</v>
      </c>
      <c r="G29" s="6">
        <f>ROUND(F29/E29,2)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31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28</v>
      </c>
      <c r="D13" s="5" t="s">
        <v>29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21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3</v>
      </c>
      <c r="F15">
        <v>2</v>
      </c>
      <c r="G15" s="6">
        <f>ROUND(F15/E15,2)</f>
        <v>0.67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24</v>
      </c>
      <c r="C18" t="s">
        <v>25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20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30</v>
      </c>
      <c r="D20" s="5" t="s">
        <v>31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33</v>
      </c>
      <c r="D21" s="5" t="s">
        <v>20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33</v>
      </c>
      <c r="D22" s="5" t="s">
        <v>31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32</v>
      </c>
      <c r="D23" s="5" t="s">
        <v>20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32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32</v>
      </c>
      <c r="D25" s="5" t="s">
        <v>29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19</v>
      </c>
      <c r="D26" s="5" t="s">
        <v>20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16</v>
      </c>
      <c r="D27" s="5" t="s">
        <v>17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26</v>
      </c>
      <c r="D28" s="5" t="s">
        <v>27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35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2025-06-17T18:35:11Z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