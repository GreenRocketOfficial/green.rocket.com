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88" documentId="13_ncr:1_{CCA05ED5-2A0D-4A8C-B6F5-632FDE30DEDF}" xr6:coauthVersionLast="47" xr6:coauthVersionMax="47" xr10:uidLastSave="{D347E60A-AEF5-4D2C-94AA-89BC7D289BA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6" i="20" l="1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52" i="18"/>
  <c r="G30" i="18"/>
  <c r="G29" i="18"/>
  <c r="G24" i="18"/>
  <c r="G19" i="18"/>
  <c r="G23" i="18"/>
  <c r="G49" i="18"/>
  <c r="G26" i="18"/>
  <c r="G22" i="18"/>
  <c r="G18" i="18"/>
  <c r="G13" i="18"/>
  <c r="G27" i="18"/>
  <c r="G17" i="18"/>
  <c r="G34" i="18"/>
  <c r="G14" i="18"/>
  <c r="G56" i="18"/>
  <c r="G12" i="18"/>
  <c r="G50" i="18"/>
  <c r="G48" i="18"/>
  <c r="G44" i="18"/>
  <c r="G47" i="18"/>
  <c r="G40" i="18"/>
  <c r="G39" i="18"/>
  <c r="G46" i="18"/>
  <c r="G53" i="18"/>
  <c r="G38" i="18"/>
  <c r="G37" i="18"/>
  <c r="G55" i="18"/>
  <c r="G15" i="18"/>
  <c r="G36" i="18"/>
  <c r="G35" i="18"/>
  <c r="G41" i="18"/>
  <c r="G42" i="18"/>
  <c r="G43" i="18"/>
  <c r="G33" i="18"/>
  <c r="G16" i="18"/>
  <c r="G54" i="18"/>
  <c r="G31" i="18"/>
  <c r="G32" i="18"/>
  <c r="G20" i="18"/>
  <c r="G45" i="18"/>
  <c r="G25" i="18"/>
  <c r="G21" i="18"/>
  <c r="G51" i="18"/>
  <c r="G28" i="18"/>
  <c r="E12" i="21"/>
</calcChain>
</file>

<file path=xl/sharedStrings.xml><?xml version="1.0" encoding="utf-8"?>
<sst xmlns="http://schemas.openxmlformats.org/spreadsheetml/2006/main" count="386" uniqueCount="53">
  <si>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</si>
  <si>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</si>
  <si>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</si>
  <si>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</si>
  <si>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</si>
  <si>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</si>
  <si>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</si>
  <si>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</si>
  <si>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</si>
  <si>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</si>
  <si>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</si>
  <si>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</si>
  <si>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</si>
  <si>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</si>
  <si>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</si>
  <si>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</si>
  <si>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</si>
  <si>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</si>
  <si>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</si>
  <si>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</si>
  <si>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</si>
  <si>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</si>
  <si>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</si>
  <si>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</si>
  <si>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</si>
  <si>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</si>
  <si>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</si>
  <si>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</si>
  <si>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</si>
  <si>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</si>
  <si>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</si>
  <si>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</si>
  <si>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</si>
  <si>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</si>
  <si>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</si>
  <si>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</si>
  <si>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Südkorea 1</t>
  </si>
  <si>
    <t>Norwegen 1</t>
  </si>
  <si>
    <t>Über X Tore &amp; Doppelte Chance</t>
  </si>
  <si>
    <t>Länderspiel Frauen</t>
  </si>
  <si>
    <t>Schweden 1</t>
  </si>
  <si>
    <t>Argentinien 1</t>
  </si>
  <si>
    <t>Darts</t>
  </si>
  <si>
    <t>World Matchplay</t>
  </si>
  <si>
    <t>HC 5,5</t>
  </si>
  <si>
    <t>Brasilien 1</t>
  </si>
  <si>
    <t>Japan 3</t>
  </si>
  <si>
    <t>Ecuador 1</t>
  </si>
  <si>
    <t>Belgien 1</t>
  </si>
  <si>
    <t>Deutschland 2</t>
  </si>
  <si>
    <t>Österreich 1</t>
  </si>
  <si>
    <t>Über X Tore &amp; Sieg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</si>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</sst>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6" totalsRowShown="0">
  <autoFilter ref="A11:G56" xr:uid="{C312ECBC-370A-48F5-9745-177D5CBECA62}"/>
  <sortState xmlns:xlrd2="http://schemas.microsoft.com/office/spreadsheetml/2017/richdata2" ref="A12:G56">
    <sortCondition ref="C11:C5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6" totalsRowShown="0">
  <autoFilter ref="A11:G56" xr:uid="{C312ECBC-370A-48F5-9745-177D5CBECA62}"/>
  <sortState xmlns:xlrd2="http://schemas.microsoft.com/office/spreadsheetml/2017/richdata2" ref="A12:G53">
    <sortCondition ref="C11:C5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6"/>
  <sheetViews>
    <sheetView showGridLines="0" tabSelected="1" zoomScaleNormal="100" workbookViewId="0">
      <pane ySplit="11" topLeftCell="A12" activePane="bottomLeft" state="frozen"/>
      <selection pane="bottomLeft" activeCell="F52" sqref="F5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28</v>
      </c>
      <c r="D16" s="5" t="s">
        <v>29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28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28</v>
      </c>
      <c r="D19" s="5" t="s">
        <v>51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21</v>
      </c>
      <c r="C20" t="s">
        <v>22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15</v>
      </c>
      <c r="D21" s="5" t="s">
        <v>14</v>
      </c>
      <c r="E21">
        <v>3</v>
      </c>
      <c r="F21">
        <v>2</v>
      </c>
      <c r="G21" s="6">
        <f>ROUND(F21/E21,2)</f>
        <v>0.67</v>
      </c>
    </row>
    <row r="22" spans="1:7" x14ac:dyDescent="0.25">
      <c r="A22" t="s">
        <v>9</v>
      </c>
      <c r="B22" t="s">
        <v>12</v>
      </c>
      <c r="C22" t="s">
        <v>49</v>
      </c>
      <c r="D22" s="5" t="s">
        <v>20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49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49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18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18</v>
      </c>
      <c r="D26" s="5" t="s">
        <v>31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47</v>
      </c>
      <c r="D27" s="5" t="s">
        <v>31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13</v>
      </c>
      <c r="D29" s="5" t="s">
        <v>20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13</v>
      </c>
      <c r="D30" s="5" t="s">
        <v>31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24</v>
      </c>
      <c r="C31" t="s">
        <v>25</v>
      </c>
      <c r="D31" s="5" t="s">
        <v>14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23</v>
      </c>
      <c r="D32" s="5" t="s">
        <v>20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30</v>
      </c>
      <c r="D33" s="5" t="s">
        <v>31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46</v>
      </c>
      <c r="D34" s="5" t="s">
        <v>31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33</v>
      </c>
      <c r="D35" s="5" t="s">
        <v>20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33</v>
      </c>
      <c r="D36" s="5" t="s">
        <v>31</v>
      </c>
      <c r="E36">
        <v>3</v>
      </c>
      <c r="F36">
        <v>3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33</v>
      </c>
      <c r="D37" s="5" t="s">
        <v>17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33</v>
      </c>
      <c r="D38" s="5" t="s">
        <v>27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33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33</v>
      </c>
      <c r="D40" s="5" t="s">
        <v>38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32</v>
      </c>
      <c r="D41" s="5" t="s">
        <v>20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32</v>
      </c>
      <c r="D42" s="5" t="s">
        <v>31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32</v>
      </c>
      <c r="D43" s="5" t="s">
        <v>29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39</v>
      </c>
      <c r="D44" s="5" t="s">
        <v>31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19</v>
      </c>
      <c r="D45" s="5" t="s">
        <v>20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37</v>
      </c>
      <c r="D46" s="5" t="s">
        <v>14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37</v>
      </c>
      <c r="D47" s="5" t="s">
        <v>20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37</v>
      </c>
      <c r="D48" s="5" t="s">
        <v>31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50</v>
      </c>
      <c r="D49" s="5" t="s">
        <v>20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40</v>
      </c>
      <c r="D50" s="5" t="s">
        <v>14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16</v>
      </c>
      <c r="D51" s="5" t="s">
        <v>17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9</v>
      </c>
      <c r="B52" t="s">
        <v>12</v>
      </c>
      <c r="C52" t="s">
        <v>16</v>
      </c>
      <c r="D52" s="5" t="s">
        <v>14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9</v>
      </c>
      <c r="B53" t="s">
        <v>12</v>
      </c>
      <c r="C53" t="s">
        <v>36</v>
      </c>
      <c r="D53" s="5" t="s">
        <v>14</v>
      </c>
      <c r="E53">
        <v>1</v>
      </c>
      <c r="F53">
        <v>1</v>
      </c>
      <c r="G53" s="6">
        <f>ROUND(F53/E53,2)</f>
        <v>1</v>
      </c>
    </row>
    <row r="54" spans="1:7" x14ac:dyDescent="0.25">
      <c r="A54" t="s">
        <v>9</v>
      </c>
      <c r="B54" t="s">
        <v>12</v>
      </c>
      <c r="C54" t="s">
        <v>26</v>
      </c>
      <c r="D54" s="5" t="s">
        <v>27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9</v>
      </c>
      <c r="B55" t="s">
        <v>12</v>
      </c>
      <c r="C55" t="s">
        <v>35</v>
      </c>
      <c r="D55" s="5" t="s">
        <v>14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9</v>
      </c>
      <c r="B56" t="s">
        <v>42</v>
      </c>
      <c r="C56" t="s">
        <v>43</v>
      </c>
      <c r="D56" s="5" t="s">
        <v>44</v>
      </c>
      <c r="E56">
        <v>1</v>
      </c>
      <c r="F56">
        <v>1</v>
      </c>
      <c r="G56" s="6">
        <f>ROUND(F56/E56,2)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41</v>
      </c>
      <c r="D12" s="5" t="s">
        <v>31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48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45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34</v>
      </c>
      <c r="D15" s="5" t="s">
        <v>31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28</v>
      </c>
      <c r="D16" s="5" t="s">
        <v>29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28</v>
      </c>
      <c r="D17" s="5" t="s">
        <v>31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28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28</v>
      </c>
      <c r="D19" s="5" t="s">
        <v>51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21</v>
      </c>
      <c r="C20" t="s">
        <v>22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15</v>
      </c>
      <c r="D21" s="5" t="s">
        <v>14</v>
      </c>
      <c r="E21">
        <v>3</v>
      </c>
      <c r="F21">
        <v>2</v>
      </c>
      <c r="G21" s="6">
        <f>ROUND(F21/E21,2)</f>
        <v>0.67</v>
      </c>
    </row>
    <row r="22" spans="1:7" x14ac:dyDescent="0.25">
      <c r="A22" t="s">
        <v>9</v>
      </c>
      <c r="B22" t="s">
        <v>12</v>
      </c>
      <c r="C22" t="s">
        <v>49</v>
      </c>
      <c r="D22" s="5" t="s">
        <v>20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49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49</v>
      </c>
      <c r="D24" s="5" t="s">
        <v>31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18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18</v>
      </c>
      <c r="D26" s="5" t="s">
        <v>31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47</v>
      </c>
      <c r="D27" s="5" t="s">
        <v>31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13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13</v>
      </c>
      <c r="D29" s="5" t="s">
        <v>20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13</v>
      </c>
      <c r="D30" s="5" t="s">
        <v>31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24</v>
      </c>
      <c r="C31" t="s">
        <v>25</v>
      </c>
      <c r="D31" s="5" t="s">
        <v>14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23</v>
      </c>
      <c r="D32" s="5" t="s">
        <v>20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30</v>
      </c>
      <c r="D33" s="5" t="s">
        <v>31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46</v>
      </c>
      <c r="D34" s="5" t="s">
        <v>31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33</v>
      </c>
      <c r="D35" s="5" t="s">
        <v>20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33</v>
      </c>
      <c r="D36" s="5" t="s">
        <v>31</v>
      </c>
      <c r="E36">
        <v>3</v>
      </c>
      <c r="F36">
        <v>3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33</v>
      </c>
      <c r="D37" s="5" t="s">
        <v>17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33</v>
      </c>
      <c r="D38" s="5" t="s">
        <v>27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33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33</v>
      </c>
      <c r="D40" s="5" t="s">
        <v>38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32</v>
      </c>
      <c r="D41" s="5" t="s">
        <v>20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32</v>
      </c>
      <c r="D42" s="5" t="s">
        <v>31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32</v>
      </c>
      <c r="D43" s="5" t="s">
        <v>29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39</v>
      </c>
      <c r="D44" s="5" t="s">
        <v>31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19</v>
      </c>
      <c r="D45" s="5" t="s">
        <v>20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37</v>
      </c>
      <c r="D46" s="5" t="s">
        <v>14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37</v>
      </c>
      <c r="D47" s="5" t="s">
        <v>20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37</v>
      </c>
      <c r="D48" s="5" t="s">
        <v>31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50</v>
      </c>
      <c r="D49" s="5" t="s">
        <v>20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40</v>
      </c>
      <c r="D50" s="5" t="s">
        <v>14</v>
      </c>
      <c r="E50">
        <v>1</v>
      </c>
      <c r="F50">
        <v>1</v>
      </c>
      <c r="G50" s="6">
        <f>ROUND(F50/E50,2)</f>
        <v>1</v>
      </c>
    </row>
    <row r="51" spans="1:7" x14ac:dyDescent="0.25">
      <c r="A51" t="s">
        <v>9</v>
      </c>
      <c r="B51" t="s">
        <v>12</v>
      </c>
      <c r="C51" t="s">
        <v>16</v>
      </c>
      <c r="D51" s="5" t="s">
        <v>17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9</v>
      </c>
      <c r="B52" t="s">
        <v>12</v>
      </c>
      <c r="C52" t="s">
        <v>16</v>
      </c>
      <c r="D52" s="5" t="s">
        <v>14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9</v>
      </c>
      <c r="B53" t="s">
        <v>12</v>
      </c>
      <c r="C53" t="s">
        <v>36</v>
      </c>
      <c r="D53" s="5" t="s">
        <v>14</v>
      </c>
      <c r="E53">
        <v>1</v>
      </c>
      <c r="F53">
        <v>1</v>
      </c>
      <c r="G53" s="6">
        <f>ROUND(F53/E53,2)</f>
        <v>1</v>
      </c>
    </row>
    <row r="54" spans="1:7" x14ac:dyDescent="0.25">
      <c r="A54" t="s">
        <v>9</v>
      </c>
      <c r="B54" t="s">
        <v>12</v>
      </c>
      <c r="C54" t="s">
        <v>26</v>
      </c>
      <c r="D54" s="5" t="s">
        <v>27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9</v>
      </c>
      <c r="B55" t="s">
        <v>12</v>
      </c>
      <c r="C55" t="s">
        <v>35</v>
      </c>
      <c r="D55" s="5" t="s">
        <v>14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9</v>
      </c>
      <c r="B56" t="s">
        <v>42</v>
      </c>
      <c r="C56" t="s">
        <v>43</v>
      </c>
      <c r="D56" s="5" t="s">
        <v>44</v>
      </c>
      <c r="E56">
        <v>1</v>
      </c>
      <c r="F56">
        <v>1</v>
      </c>
      <c r="G56" s="6">
        <f>ROUND(F56/E56,2)</f>
        <v>1</v>
      </c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2025-08-19T19:37:21Z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