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00" documentId="13_ncr:1_{32BD3745-769A-4363-92E4-3EACA8D86657}" xr6:coauthVersionLast="47" xr6:coauthVersionMax="47" xr10:uidLastSave="{68E517F3-EBCF-49B0-B343-17AEB681EB02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11" l="1"/>
  <c r="A124" i="11"/>
  <c r="J123" i="11"/>
  <c r="A123" i="11"/>
  <c r="F18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<sst xmlns="http://schemas.openxmlformats.org/spreadsheetml/2006/main" count="46" uniqueCount="34">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</sst>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4" totalsRowShown="0" headerRowDxfId="14" dataDxfId="13">
  <autoFilter ref="A1:I12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33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123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101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17,89%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664.92000000000144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6"/>
      <c r="H21" s="39" t="s">
        <v>26</v>
      </c>
      <c r="I21" s="36"/>
      <c r="J21" s="35" t="s">
        <v>14</v>
      </c>
      <c r="K21" s="36"/>
      <c r="L21" s="35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23</v>
      </c>
      <c r="D22" s="31"/>
      <c r="E22" s="32"/>
      <c r="F22" s="14">
        <v>57</v>
      </c>
      <c r="G22" s="12" t="s">
        <v>29</v>
      </c>
      <c r="H22" s="16">
        <v>124</v>
      </c>
      <c r="I22" s="12" t="s">
        <v>21</v>
      </c>
      <c r="J22" s="16">
        <f>F22+H22</f>
        <v>181</v>
      </c>
      <c r="K22" s="12" t="s">
        <v>21</v>
      </c>
      <c r="L22" s="27" t="str">
        <f>TEXT(F22/J22,"0,00%")</f>
        <v>31,49%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7">
        <v>2</v>
      </c>
      <c r="B23" s="38"/>
      <c r="C23" s="30" t="s">
        <v>22</v>
      </c>
      <c r="D23" s="31"/>
      <c r="E23" s="32"/>
      <c r="F23" s="14">
        <v>52</v>
      </c>
      <c r="G23" s="12" t="s">
        <v>32</v>
      </c>
      <c r="H23" s="16">
        <v>133</v>
      </c>
      <c r="I23" s="12" t="s">
        <v>31</v>
      </c>
      <c r="J23" s="16">
        <f>F23+H23</f>
        <v>185</v>
      </c>
      <c r="K23" s="12" t="s">
        <v>21</v>
      </c>
      <c r="L23" s="27" t="str">
        <f>TEXT(F23/J23,"0,00%")</f>
        <v>28,11%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7">
        <v>3</v>
      </c>
      <c r="B24" s="38"/>
      <c r="C24" s="30" t="s">
        <v>24</v>
      </c>
      <c r="D24" s="31"/>
      <c r="E24" s="32"/>
      <c r="F24" s="14">
        <v>47</v>
      </c>
      <c r="G24" s="12" t="s">
        <v>29</v>
      </c>
      <c r="H24" s="16">
        <v>134</v>
      </c>
      <c r="I24" s="12" t="s">
        <v>21</v>
      </c>
      <c r="J24" s="16">
        <f>F24+H24</f>
        <v>181</v>
      </c>
      <c r="K24" s="12" t="s">
        <v>21</v>
      </c>
      <c r="L24" s="27" t="str">
        <f>TEXT(F24/J24,"0,00%")</f>
        <v>25,97%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40</v>
      </c>
      <c r="G25" s="13" t="s">
        <v>29</v>
      </c>
      <c r="H25" s="17">
        <v>122</v>
      </c>
      <c r="I25" s="13" t="s">
        <v>21</v>
      </c>
      <c r="J25" s="17">
        <f>F25+H25</f>
        <v>162</v>
      </c>
      <c r="K25" s="13" t="s">
        <v>21</v>
      </c>
      <c r="L25" s="45" t="str">
        <f>TEXT(F25/J25,"0,00%")</f>
        <v>24,69%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4"/>
  <sheetViews>
    <sheetView zoomScale="90" zoomScaleNormal="90" workbookViewId="0">
      <pane ySplit="1" topLeftCell="A105" activePane="bottomLeft" state="frozen"/>
      <selection activeCell="C1" sqref="C1"/>
      <selection pane="bottomLeft" activeCell="D120" sqref="D120:D124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123</v>
      </c>
      <c r="M2" s="5">
        <f>COUNTIF(D:D,"&gt;0")</f>
        <v>22</v>
      </c>
      <c r="N2" s="5">
        <f>COUNTIF(D:D,"0")</f>
        <v>101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4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2025-07-10T17:34:04Z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