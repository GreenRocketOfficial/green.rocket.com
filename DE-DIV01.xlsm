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6" documentId="13_ncr:1_{32BD3745-769A-4363-92E4-3EACA8D86657}" xr6:coauthVersionLast="47" xr6:coauthVersionMax="47" xr10:uidLastSave="{5B521735-0F31-4CB5-B480-0EE80E720CD5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1" i="11" l="1"/>
  <c r="J121" i="11"/>
  <c r="K121" i="11"/>
  <c r="L121" i="11" s="1"/>
  <c r="A120" i="11"/>
  <c r="J120" i="11"/>
  <c r="K120" i="11"/>
  <c r="L120" i="11" s="1"/>
  <c r="A119" i="11"/>
  <c r="J119" i="11"/>
  <c r="K119" i="11"/>
  <c r="L119" i="11"/>
  <c r="A118" i="11"/>
  <c r="J118" i="11"/>
  <c r="K118" i="11"/>
  <c r="L118" i="11"/>
  <c r="A117" i="11"/>
  <c r="J117" i="11"/>
  <c r="K117" i="11"/>
  <c r="L117" i="11"/>
  <c r="A116" i="11"/>
  <c r="J116" i="11"/>
  <c r="K116" i="11"/>
  <c r="L116" i="11"/>
  <c r="A115" i="11"/>
  <c r="J115" i="11"/>
  <c r="K115" i="11"/>
  <c r="L115" i="11"/>
  <c r="J114" i="11"/>
  <c r="A114" i="11"/>
  <c r="K114" i="11"/>
  <c r="L114" i="11"/>
  <c r="F17" i="12"/>
  <c r="F20" i="12" s="1"/>
  <c r="J24" i="12"/>
  <c r="L24" i="12" s="1"/>
  <c r="J25" i="12"/>
  <c r="L25" i="12" s="1"/>
  <c r="A113" i="11"/>
  <c r="J113" i="11"/>
  <c r="K113" i="11"/>
  <c r="L113" i="11"/>
  <c r="A112" i="11"/>
  <c r="J112" i="11"/>
  <c r="K112" i="11"/>
  <c r="L112" i="11"/>
  <c r="A111" i="11"/>
  <c r="J111" i="11"/>
  <c r="K111" i="11"/>
  <c r="L111" i="1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/>
  <c r="P2" i="11"/>
  <c r="F13" i="12" s="1"/>
  <c r="O2" i="11"/>
  <c r="F12" i="12" s="1"/>
  <c r="A90" i="11"/>
  <c r="A91" i="11"/>
  <c r="J90" i="11"/>
  <c r="J91" i="11"/>
  <c r="J92" i="11"/>
  <c r="J93" i="11"/>
  <c r="J94" i="11"/>
  <c r="K90" i="11"/>
  <c r="K91" i="11"/>
  <c r="K92" i="11"/>
  <c r="K93" i="11"/>
  <c r="K9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N2" i="11"/>
  <c r="F11" i="12" s="1"/>
  <c r="J77" i="11"/>
  <c r="K77" i="11"/>
  <c r="J76" i="11"/>
  <c r="K76" i="11"/>
  <c r="J73" i="11"/>
  <c r="J74" i="11"/>
  <c r="J75" i="11"/>
  <c r="K73" i="11"/>
  <c r="K74" i="11"/>
  <c r="K75" i="11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/>
  <c r="L4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F14" i="12" l="1"/>
  <c r="F19" i="12"/>
</calcChain>
</file>

<file path=xl/sharedStrings.xml><?xml version="1.0" encoding="utf-8"?>
<sst xmlns="http://schemas.openxmlformats.org/spreadsheetml/2006/main" count="50" uniqueCount="38">
  <si>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</si>
  <si>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</si>
  <si>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</si>
  <si>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</si>
  <si>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</si>
  <si>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</si>
  <si>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</si>
  <si>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</si>
  <si>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</si>
  <si>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</si>
  <si>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</si>
  <si>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</si>
  <si>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</si>
  <si>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</si>
  <si>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</si>
  <si>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</si>
  <si>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</si>
  <si>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</si>
  <si>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</si>
  <si>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</si>
  <si>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</si>
  <si>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</si>
  <si>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</si>
  <si>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</si>
  <si>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+ 4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</si>
  <si>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</si>
  <si>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</si>
  <si>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</si>
  <si>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</si>
  <si>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</si>
  <si>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</si>
  <si>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</si>
  <si>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</si>
  <si>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</si>
  <si>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</si>
  <si>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+ 1</t>
  </si>
  <si>
    <t>+ 3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</si>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</sst>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21" totalsRowShown="0" headerRowDxfId="17" dataDxfId="16">
  <autoFilter ref="A1:L121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5" sqref="M15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6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7" t="s">
        <v>37</v>
      </c>
      <c r="H6" s="48"/>
      <c r="I6" s="4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8"/>
      <c r="H7" s="48"/>
      <c r="I7" s="48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7" t="s">
        <v>18</v>
      </c>
      <c r="B10" s="37"/>
      <c r="C10" s="37"/>
      <c r="D10" s="37"/>
      <c r="E10" s="37"/>
      <c r="F10" s="37"/>
      <c r="G10" s="37"/>
      <c r="H10" s="37"/>
      <c r="I10" s="3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4" t="s">
        <v>14</v>
      </c>
      <c r="B11" s="44"/>
      <c r="C11" s="44"/>
      <c r="D11" s="44"/>
      <c r="E11" s="44"/>
      <c r="F11" s="44">
        <f>Finanzen!N2</f>
        <v>120</v>
      </c>
      <c r="G11" s="44"/>
      <c r="H11" s="44"/>
      <c r="I11" s="44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4" t="s">
        <v>21</v>
      </c>
      <c r="B12" s="44"/>
      <c r="C12" s="44"/>
      <c r="D12" s="44"/>
      <c r="E12" s="44"/>
      <c r="F12" s="49">
        <f>Finanzen!O2</f>
        <v>22</v>
      </c>
      <c r="G12" s="49"/>
      <c r="H12" s="49"/>
      <c r="I12" s="4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4" t="s">
        <v>22</v>
      </c>
      <c r="B13" s="44"/>
      <c r="C13" s="44"/>
      <c r="D13" s="44"/>
      <c r="E13" s="44"/>
      <c r="F13" s="45">
        <f>Finanzen!P2</f>
        <v>98</v>
      </c>
      <c r="G13" s="45"/>
      <c r="H13" s="45"/>
      <c r="I13" s="4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4" t="s">
        <v>7</v>
      </c>
      <c r="B14" s="44"/>
      <c r="C14" s="44"/>
      <c r="D14" s="44"/>
      <c r="E14" s="44"/>
      <c r="F14" s="44" t="str">
        <f>TEXT(Finanzen!O2/Finanzen!N2,"0,00%")</f>
        <v>18,33%</v>
      </c>
      <c r="G14" s="44"/>
      <c r="H14" s="44"/>
      <c r="I14" s="44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7" t="s">
        <v>19</v>
      </c>
      <c r="B16" s="37"/>
      <c r="C16" s="37"/>
      <c r="D16" s="37"/>
      <c r="E16" s="37"/>
      <c r="F16" s="37"/>
      <c r="G16" s="37"/>
      <c r="H16" s="37"/>
      <c r="I16" s="3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4" t="s">
        <v>11</v>
      </c>
      <c r="B17" s="44"/>
      <c r="C17" s="44"/>
      <c r="D17" s="44"/>
      <c r="E17" s="44"/>
      <c r="F17" s="38">
        <f>SUM(Finanzen!D:D)</f>
        <v>17392.710000000006</v>
      </c>
      <c r="G17" s="38"/>
      <c r="H17" s="38"/>
      <c r="I17" s="3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4" t="s">
        <v>12</v>
      </c>
      <c r="B18" s="44"/>
      <c r="C18" s="44"/>
      <c r="D18" s="44"/>
      <c r="E18" s="44"/>
      <c r="F18" s="38">
        <f>SUM(Finanzen!C:C)</f>
        <v>9956.1000000000186</v>
      </c>
      <c r="G18" s="38"/>
      <c r="H18" s="38"/>
      <c r="I18" s="3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44" t="s">
        <v>13</v>
      </c>
      <c r="B19" s="44"/>
      <c r="C19" s="44"/>
      <c r="D19" s="44"/>
      <c r="E19" s="44"/>
      <c r="F19" s="38">
        <f>F17-F18</f>
        <v>7436.6099999999878</v>
      </c>
      <c r="G19" s="38"/>
      <c r="H19" s="38"/>
      <c r="I19" s="38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44" t="s">
        <v>23</v>
      </c>
      <c r="B20" s="44"/>
      <c r="C20" s="44"/>
      <c r="D20" s="44"/>
      <c r="E20" s="44"/>
      <c r="F20" s="38">
        <f>20000-F17</f>
        <v>2607.2899999999936</v>
      </c>
      <c r="G20" s="38"/>
      <c r="H20" s="38"/>
      <c r="I20" s="38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37" t="s">
        <v>20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9" t="s">
        <v>17</v>
      </c>
      <c r="B23" s="40"/>
      <c r="C23" s="41" t="s">
        <v>5</v>
      </c>
      <c r="D23" s="42"/>
      <c r="E23" s="43"/>
      <c r="F23" s="36" t="s">
        <v>15</v>
      </c>
      <c r="G23" s="32"/>
      <c r="H23" s="36" t="s">
        <v>29</v>
      </c>
      <c r="I23" s="32"/>
      <c r="J23" s="31" t="s">
        <v>16</v>
      </c>
      <c r="K23" s="32"/>
      <c r="L23" s="31" t="s">
        <v>6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2">
        <v>1</v>
      </c>
      <c r="B24" s="23"/>
      <c r="C24" s="33" t="s">
        <v>26</v>
      </c>
      <c r="D24" s="34"/>
      <c r="E24" s="35"/>
      <c r="F24" s="14">
        <v>52</v>
      </c>
      <c r="G24" s="12" t="s">
        <v>36</v>
      </c>
      <c r="H24" s="16">
        <v>117</v>
      </c>
      <c r="I24" s="12" t="s">
        <v>35</v>
      </c>
      <c r="J24" s="16">
        <f>F24+H24</f>
        <v>169</v>
      </c>
      <c r="K24" s="12" t="s">
        <v>24</v>
      </c>
      <c r="L24" s="29" t="str">
        <f>TEXT(F24/J24,"0,00%")</f>
        <v>30,77%</v>
      </c>
      <c r="M24" s="30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22">
        <v>2</v>
      </c>
      <c r="B25" s="23"/>
      <c r="C25" s="33" t="s">
        <v>25</v>
      </c>
      <c r="D25" s="34"/>
      <c r="E25" s="35"/>
      <c r="F25" s="14">
        <v>51</v>
      </c>
      <c r="G25" s="12" t="s">
        <v>34</v>
      </c>
      <c r="H25" s="16">
        <v>122</v>
      </c>
      <c r="I25" s="12" t="s">
        <v>24</v>
      </c>
      <c r="J25" s="16">
        <f>F25+H25</f>
        <v>173</v>
      </c>
      <c r="K25" s="12" t="s">
        <v>24</v>
      </c>
      <c r="L25" s="29" t="str">
        <f>TEXT(F25/J25,"0,00%")</f>
        <v>29,48%</v>
      </c>
      <c r="M25" s="30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22">
        <v>3</v>
      </c>
      <c r="B26" s="23"/>
      <c r="C26" s="33" t="s">
        <v>27</v>
      </c>
      <c r="D26" s="34"/>
      <c r="E26" s="35"/>
      <c r="F26" s="14">
        <v>47</v>
      </c>
      <c r="G26" s="12" t="s">
        <v>34</v>
      </c>
      <c r="H26" s="16">
        <v>122</v>
      </c>
      <c r="I26" s="12" t="s">
        <v>24</v>
      </c>
      <c r="J26" s="16">
        <f>F26+H26</f>
        <v>169</v>
      </c>
      <c r="K26" s="12" t="s">
        <v>24</v>
      </c>
      <c r="L26" s="29" t="str">
        <f>TEXT(F26/J26,"0,00%")</f>
        <v>27,81%</v>
      </c>
      <c r="M26" s="30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24">
        <v>4</v>
      </c>
      <c r="B27" s="25"/>
      <c r="C27" s="26" t="s">
        <v>28</v>
      </c>
      <c r="D27" s="27"/>
      <c r="E27" s="28"/>
      <c r="F27" s="15">
        <v>37</v>
      </c>
      <c r="G27" s="13" t="s">
        <v>35</v>
      </c>
      <c r="H27" s="17">
        <v>117</v>
      </c>
      <c r="I27" s="13" t="s">
        <v>36</v>
      </c>
      <c r="J27" s="17">
        <f>F27+H27</f>
        <v>154</v>
      </c>
      <c r="K27" s="13" t="s">
        <v>24</v>
      </c>
      <c r="L27" s="20" t="str">
        <f>TEXT(F27/J27,"0,00%")</f>
        <v>24,03%</v>
      </c>
      <c r="M27" s="21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L23:M23"/>
    <mergeCell ref="A26:B26"/>
    <mergeCell ref="C25:E25"/>
    <mergeCell ref="C26:E26"/>
    <mergeCell ref="F23:G23"/>
    <mergeCell ref="L27:M27"/>
    <mergeCell ref="A24:B24"/>
    <mergeCell ref="A25:B25"/>
    <mergeCell ref="A27:B27"/>
    <mergeCell ref="C27:E27"/>
    <mergeCell ref="L26:M26"/>
    <mergeCell ref="L25:M25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21"/>
  <sheetViews>
    <sheetView zoomScale="90" zoomScaleNormal="90" workbookViewId="0">
      <pane ySplit="1" topLeftCell="A103" activePane="bottomLeft" state="frozen"/>
      <selection activeCell="C1" sqref="C1"/>
      <selection pane="bottomLeft" activeCell="A121" sqref="A121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30</v>
      </c>
      <c r="F1" s="1" t="s">
        <v>26</v>
      </c>
      <c r="G1" s="1" t="s">
        <v>25</v>
      </c>
      <c r="H1" s="1" t="s">
        <v>28</v>
      </c>
      <c r="I1" s="1" t="s">
        <v>27</v>
      </c>
      <c r="J1" s="1" t="s">
        <v>31</v>
      </c>
      <c r="K1" s="1" t="s">
        <v>32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120</v>
      </c>
      <c r="O2" s="5">
        <f>COUNTIF(D:D,"&gt;0")</f>
        <v>22</v>
      </c>
      <c r="P2" s="5">
        <f>COUNTIF(D:D,"0")</f>
        <v>98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 t="shared" ref="J111:J116" si="32"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 t="shared" si="32"/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 t="shared" ref="A113:A118" si="33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 t="shared" si="32"/>
        <v>3519.2</v>
      </c>
      <c r="K113" s="4">
        <f t="shared" ref="K113:K118" si="34">D113-C113</f>
        <v>5932.08</v>
      </c>
      <c r="L113" s="4">
        <f t="shared" ref="L113:L118" si="35">L112+K113</f>
        <v>8006.3300000000017</v>
      </c>
    </row>
    <row r="114" spans="1:12" ht="15.75" x14ac:dyDescent="0.25">
      <c r="A114" s="2">
        <f t="shared" si="33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 t="shared" si="32"/>
        <v>-100.1</v>
      </c>
      <c r="K114" s="4">
        <f t="shared" si="34"/>
        <v>-100.1</v>
      </c>
      <c r="L114" s="4">
        <f t="shared" si="35"/>
        <v>7906.2300000000014</v>
      </c>
    </row>
    <row r="115" spans="1:12" ht="15.75" x14ac:dyDescent="0.25">
      <c r="A115" s="2">
        <f t="shared" si="33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 t="shared" si="32"/>
        <v>-100.1</v>
      </c>
      <c r="K115" s="4">
        <f t="shared" si="34"/>
        <v>-100.1</v>
      </c>
      <c r="L115" s="4">
        <f t="shared" si="35"/>
        <v>7806.130000000001</v>
      </c>
    </row>
    <row r="116" spans="1:12" ht="15.75" x14ac:dyDescent="0.25">
      <c r="A116" s="2">
        <f t="shared" si="33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 t="shared" si="32"/>
        <v>-100.1</v>
      </c>
      <c r="K116" s="4">
        <f t="shared" si="34"/>
        <v>-100.1</v>
      </c>
      <c r="L116" s="4">
        <f t="shared" si="35"/>
        <v>7706.0300000000007</v>
      </c>
    </row>
    <row r="117" spans="1:12" ht="15.75" x14ac:dyDescent="0.25">
      <c r="A117" s="2">
        <f t="shared" si="33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f>D117-C117-E117-G117-F117-H117-I117</f>
        <v>-100.1</v>
      </c>
      <c r="K117" s="4">
        <f t="shared" si="34"/>
        <v>-100.1</v>
      </c>
      <c r="L117" s="4">
        <f t="shared" si="35"/>
        <v>7605.93</v>
      </c>
    </row>
    <row r="118" spans="1:12" ht="15.75" x14ac:dyDescent="0.25">
      <c r="A118" s="2">
        <f t="shared" si="33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f>D118-C118-E118-G118-F118-H118-I118</f>
        <v>-100.1</v>
      </c>
      <c r="K118" s="4">
        <f t="shared" si="34"/>
        <v>-100.1</v>
      </c>
      <c r="L118" s="4">
        <f t="shared" si="35"/>
        <v>7505.83</v>
      </c>
    </row>
    <row r="119" spans="1:12" ht="15.75" x14ac:dyDescent="0.25">
      <c r="A119" s="2">
        <f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4">
        <f>D119-C119-E119-G119-F119-H119-I119</f>
        <v>38.550000000000026</v>
      </c>
      <c r="K119" s="4">
        <f>D119-C119</f>
        <v>130.98000000000002</v>
      </c>
      <c r="L119" s="4">
        <f>L118+K119</f>
        <v>7636.8099999999995</v>
      </c>
    </row>
    <row r="120" spans="1:12" ht="15.75" x14ac:dyDescent="0.25">
      <c r="A120" s="2">
        <f>A119+1</f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f>D120-C120-E120-G120-F120-H120-I120</f>
        <v>-100.1</v>
      </c>
      <c r="K120" s="4">
        <f>D120-C120</f>
        <v>-100.1</v>
      </c>
      <c r="L120" s="4">
        <f>L119+K120</f>
        <v>7536.7099999999991</v>
      </c>
    </row>
    <row r="121" spans="1:12" ht="15.75" x14ac:dyDescent="0.25">
      <c r="A121" s="2">
        <f>A120+1</f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f>D121-C121-E121-G121-F121-H121-I121</f>
        <v>-100.1</v>
      </c>
      <c r="K121" s="4">
        <f>D121-C121</f>
        <v>-100.1</v>
      </c>
      <c r="L121" s="4">
        <f>L120+K121</f>
        <v>7436.6099999999988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2025-06-17T18:25:53Z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