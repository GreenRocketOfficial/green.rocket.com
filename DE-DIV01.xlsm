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559" documentId="13_ncr:1_{32BD3745-769A-4363-92E4-3EACA8D86657}" xr6:coauthVersionLast="47" xr6:coauthVersionMax="47" xr10:uidLastSave="{77A95D0F-E38E-4B06-B0BD-61D075CA1F55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6" i="11" l="1"/>
  <c r="A126" i="11"/>
  <c r="J125" i="11"/>
  <c r="F18" i="12" s="1"/>
  <c r="A125" i="11"/>
  <c r="J124" i="11"/>
  <c r="A124" i="11"/>
  <c r="J123" i="11"/>
  <c r="A123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 s="1"/>
  <c r="J23" i="12"/>
  <c r="L23" i="12" s="1"/>
  <c r="J25" i="12"/>
  <c r="L25" i="12" s="1"/>
  <c r="J24" i="12"/>
  <c r="L24" i="12" s="1"/>
  <c r="N2" i="11"/>
  <c r="F13" i="12" s="1"/>
  <c r="M2" i="11"/>
  <c r="F12" i="12" s="1"/>
  <c r="A5" i="11"/>
  <c r="A6" i="11"/>
  <c r="A7" i="11"/>
  <c r="A8" i="11"/>
  <c r="A9" i="11"/>
  <c r="A10" i="11"/>
  <c r="A11" i="11"/>
  <c r="A12" i="11"/>
  <c r="A13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4" i="11" l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L2" i="11" l="1"/>
  <c r="F11" i="12" l="1"/>
  <c r="F14" i="12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<sst xmlns="http://schemas.openxmlformats.org/spreadsheetml/2006/main" count="46" uniqueCount="34">
  <si>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</si>
  <si>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</si>
  <si>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</si>
  <si>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</si>
  <si>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</si>
  <si>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</si>
  <si>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</si>
  <si>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</si>
  <si>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</si>
  <si>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</si>
  <si>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</si>
  <si>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</si>
  <si>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</si>
  <si>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</si>
  <si>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</si>
  <si>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</si>
  <si>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</si>
  <si>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</si>
  <si>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</si>
  <si>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</si>
  <si>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</si>
  <si>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</si>
  <si>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</si>
  <si>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</si>
  <si>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</si>
  <si>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</si>
  <si>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</si>
  <si>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</si>
  <si>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</si>
  <si>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</si>
  <si>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</si>
  <si>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+ 3</t>
  </si>
  <si>
    <t>+ 1</t>
  </si>
  <si>
    <t>Stand: 22.07.2025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</si>
</sst>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6" totalsRowShown="0" headerRowDxfId="14" dataDxfId="13">
  <autoFilter ref="A1:I126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K14" sqref="K14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8" t="s">
        <v>28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9" t="s">
        <v>33</v>
      </c>
      <c r="H6" s="50"/>
      <c r="I6" s="50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50"/>
      <c r="H7" s="50"/>
      <c r="I7" s="50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46" t="s">
        <v>16</v>
      </c>
      <c r="B10" s="46"/>
      <c r="C10" s="46"/>
      <c r="D10" s="46"/>
      <c r="E10" s="46"/>
      <c r="F10" s="46"/>
      <c r="G10" s="46"/>
      <c r="H10" s="46"/>
      <c r="I10" s="46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5" t="s">
        <v>12</v>
      </c>
      <c r="B11" s="45"/>
      <c r="C11" s="45"/>
      <c r="D11" s="45"/>
      <c r="E11" s="45"/>
      <c r="F11" s="45">
        <f>Finanzen!L2</f>
        <v>125</v>
      </c>
      <c r="G11" s="45"/>
      <c r="H11" s="45"/>
      <c r="I11" s="4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5" t="s">
        <v>19</v>
      </c>
      <c r="B12" s="45"/>
      <c r="C12" s="45"/>
      <c r="D12" s="45"/>
      <c r="E12" s="45"/>
      <c r="F12" s="51">
        <f>Finanzen!M2</f>
        <v>22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5" t="s">
        <v>20</v>
      </c>
      <c r="B13" s="45"/>
      <c r="C13" s="45"/>
      <c r="D13" s="45"/>
      <c r="E13" s="45"/>
      <c r="F13" s="47">
        <f>Finanzen!N2</f>
        <v>103</v>
      </c>
      <c r="G13" s="47"/>
      <c r="H13" s="47"/>
      <c r="I13" s="4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5" t="s">
        <v>6</v>
      </c>
      <c r="B14" s="45"/>
      <c r="C14" s="45"/>
      <c r="D14" s="45"/>
      <c r="E14" s="45"/>
      <c r="F14" s="45" t="str">
        <f>TEXT(Finanzen!M2/Finanzen!L2,"0,00%")</f>
        <v>17,60%</v>
      </c>
      <c r="G14" s="45"/>
      <c r="H14" s="45"/>
      <c r="I14" s="4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46" t="s">
        <v>17</v>
      </c>
      <c r="B16" s="46"/>
      <c r="C16" s="46"/>
      <c r="D16" s="46"/>
      <c r="E16" s="46"/>
      <c r="F16" s="46"/>
      <c r="G16" s="46"/>
      <c r="H16" s="46"/>
      <c r="I16" s="46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5" t="s">
        <v>10</v>
      </c>
      <c r="B17" s="45"/>
      <c r="C17" s="45"/>
      <c r="D17" s="45"/>
      <c r="E17" s="45"/>
      <c r="F17" s="33">
        <f>SUM(Finanzen!D:D)</f>
        <v>17392.710000000006</v>
      </c>
      <c r="G17" s="33"/>
      <c r="H17" s="33"/>
      <c r="I17" s="33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5" t="s">
        <v>11</v>
      </c>
      <c r="B18" s="45"/>
      <c r="C18" s="45"/>
      <c r="D18" s="45"/>
      <c r="E18" s="45"/>
      <c r="F18" s="33">
        <f>SUM(Finanzen!J:J)</f>
        <v>464.72000000000139</v>
      </c>
      <c r="G18" s="33"/>
      <c r="H18" s="33"/>
      <c r="I18" s="33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25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thickBot="1" x14ac:dyDescent="0.3">
      <c r="A20" s="46" t="s">
        <v>18</v>
      </c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7">
      <c r="A21" s="40" t="s">
        <v>15</v>
      </c>
      <c r="B21" s="41"/>
      <c r="C21" s="42" t="s">
        <v>4</v>
      </c>
      <c r="D21" s="43"/>
      <c r="E21" s="44"/>
      <c r="F21" s="39" t="s">
        <v>13</v>
      </c>
      <c r="G21" s="35"/>
      <c r="H21" s="39" t="s">
        <v>26</v>
      </c>
      <c r="I21" s="35"/>
      <c r="J21" s="34" t="s">
        <v>14</v>
      </c>
      <c r="K21" s="35"/>
      <c r="L21" s="34" t="s">
        <v>5</v>
      </c>
      <c r="M21" s="35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4">
        <v>1</v>
      </c>
      <c r="B22" s="25"/>
      <c r="C22" s="36" t="s">
        <v>23</v>
      </c>
      <c r="D22" s="37"/>
      <c r="E22" s="38"/>
      <c r="F22" s="14">
        <v>62</v>
      </c>
      <c r="G22" s="12" t="s">
        <v>31</v>
      </c>
      <c r="H22" s="16">
        <v>127</v>
      </c>
      <c r="I22" s="12" t="s">
        <v>32</v>
      </c>
      <c r="J22" s="16">
        <f>F22+H22</f>
        <v>189</v>
      </c>
      <c r="K22" s="12" t="s">
        <v>21</v>
      </c>
      <c r="L22" s="31" t="str">
        <f>TEXT(F22/J22,"0,00%")</f>
        <v>32,80%</v>
      </c>
      <c r="M22" s="32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4">
        <v>2</v>
      </c>
      <c r="B23" s="25"/>
      <c r="C23" s="36" t="s">
        <v>22</v>
      </c>
      <c r="D23" s="37"/>
      <c r="E23" s="38"/>
      <c r="F23" s="14">
        <v>52</v>
      </c>
      <c r="G23" s="12" t="s">
        <v>29</v>
      </c>
      <c r="H23" s="16">
        <v>137</v>
      </c>
      <c r="I23" s="12" t="s">
        <v>29</v>
      </c>
      <c r="J23" s="16">
        <f>F23+H23</f>
        <v>189</v>
      </c>
      <c r="K23" s="12" t="s">
        <v>29</v>
      </c>
      <c r="L23" s="31" t="str">
        <f>TEXT(F23/J23,"0,00%")</f>
        <v>27,51%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4">
        <v>3</v>
      </c>
      <c r="B24" s="25"/>
      <c r="C24" s="36" t="s">
        <v>24</v>
      </c>
      <c r="D24" s="37"/>
      <c r="E24" s="38"/>
      <c r="F24" s="14">
        <v>49</v>
      </c>
      <c r="G24" s="12" t="s">
        <v>32</v>
      </c>
      <c r="H24" s="16">
        <v>140</v>
      </c>
      <c r="I24" s="12" t="s">
        <v>31</v>
      </c>
      <c r="J24" s="16">
        <f>F24+H24</f>
        <v>189</v>
      </c>
      <c r="K24" s="12" t="s">
        <v>21</v>
      </c>
      <c r="L24" s="31" t="str">
        <f>TEXT(F24/J24,"0,00%")</f>
        <v>25,93%</v>
      </c>
      <c r="M24" s="32"/>
      <c r="N24" s="7"/>
      <c r="O24" s="7"/>
      <c r="P24" s="7"/>
      <c r="Q24" s="7"/>
      <c r="R24" s="7"/>
      <c r="S24" s="7"/>
      <c r="T24" s="7"/>
      <c r="U24" s="7"/>
      <c r="V24" s="7"/>
    </row>
    <row r="25" spans="1:66" ht="47.25" thickBot="1" x14ac:dyDescent="0.75">
      <c r="A25" s="26">
        <v>4</v>
      </c>
      <c r="B25" s="27"/>
      <c r="C25" s="28" t="s">
        <v>25</v>
      </c>
      <c r="D25" s="29"/>
      <c r="E25" s="30"/>
      <c r="F25" s="15">
        <v>40</v>
      </c>
      <c r="G25" s="13" t="s">
        <v>29</v>
      </c>
      <c r="H25" s="17">
        <v>126</v>
      </c>
      <c r="I25" s="13" t="s">
        <v>21</v>
      </c>
      <c r="J25" s="17">
        <f>F25+H25</f>
        <v>166</v>
      </c>
      <c r="K25" s="13" t="s">
        <v>21</v>
      </c>
      <c r="L25" s="22" t="str">
        <f>TEXT(F25/J25,"0,00%")</f>
        <v>24,10%</v>
      </c>
      <c r="M25" s="23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5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5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5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5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  <mergeCell ref="F17:I17"/>
    <mergeCell ref="L21:M21"/>
    <mergeCell ref="A24:B24"/>
    <mergeCell ref="C23:E23"/>
    <mergeCell ref="C24:E24"/>
    <mergeCell ref="F21:G21"/>
    <mergeCell ref="F18:I18"/>
    <mergeCell ref="H21:I21"/>
    <mergeCell ref="J21:K21"/>
    <mergeCell ref="A21:B21"/>
    <mergeCell ref="C21:E21"/>
    <mergeCell ref="A18:E18"/>
    <mergeCell ref="L25:M25"/>
    <mergeCell ref="A22:B22"/>
    <mergeCell ref="A23:B23"/>
    <mergeCell ref="A25:B25"/>
    <mergeCell ref="C25:E25"/>
    <mergeCell ref="L24:M24"/>
    <mergeCell ref="L23:M23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6"/>
  <sheetViews>
    <sheetView topLeftCell="C1" zoomScale="90" zoomScaleNormal="90" workbookViewId="0">
      <pane ySplit="1" topLeftCell="A105" activePane="bottomLeft" state="frozen"/>
      <selection activeCell="C1" sqref="C1"/>
      <selection pane="bottomLeft" activeCell="J128" sqref="J128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2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125</v>
      </c>
      <c r="M2" s="5">
        <f>COUNTIF(D:D,"&gt;0")</f>
        <v>22</v>
      </c>
      <c r="N2" s="5">
        <f>COUNTIF(D:D,"0")</f>
        <v>103</v>
      </c>
    </row>
    <row r="3" spans="1:15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ht="15.75" x14ac:dyDescent="0.25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ht="15.75" x14ac:dyDescent="0.25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ht="15.75" x14ac:dyDescent="0.25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ht="15.75" x14ac:dyDescent="0.25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ht="15.75" x14ac:dyDescent="0.25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ht="15.75" x14ac:dyDescent="0.25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ht="15.75" x14ac:dyDescent="0.25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ht="15.75" x14ac:dyDescent="0.25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ht="15.75" x14ac:dyDescent="0.25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ht="15.75" x14ac:dyDescent="0.25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ht="15.75" x14ac:dyDescent="0.25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ht="15.75" x14ac:dyDescent="0.25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ht="15.75" x14ac:dyDescent="0.25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ht="15.75" x14ac:dyDescent="0.25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ht="15.75" x14ac:dyDescent="0.25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ht="15.75" x14ac:dyDescent="0.25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ht="15.75" x14ac:dyDescent="0.25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ht="15.75" x14ac:dyDescent="0.25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ht="15.75" x14ac:dyDescent="0.25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ht="15.75" x14ac:dyDescent="0.25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ht="15.75" x14ac:dyDescent="0.25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ht="15.75" x14ac:dyDescent="0.25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ht="15.75" x14ac:dyDescent="0.25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ht="15.75" x14ac:dyDescent="0.25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ht="15.75" x14ac:dyDescent="0.25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ht="15.75" x14ac:dyDescent="0.25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ht="15.75" x14ac:dyDescent="0.25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ht="15.75" x14ac:dyDescent="0.25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ht="15.75" x14ac:dyDescent="0.25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ht="15.75" x14ac:dyDescent="0.25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ht="15.75" x14ac:dyDescent="0.25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ht="15.75" x14ac:dyDescent="0.25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ht="15.75" x14ac:dyDescent="0.25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ht="15.75" x14ac:dyDescent="0.25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ht="15.75" x14ac:dyDescent="0.25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ht="15.75" x14ac:dyDescent="0.25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ht="15.75" x14ac:dyDescent="0.25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ht="15.75" x14ac:dyDescent="0.25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ht="15.75" x14ac:dyDescent="0.25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ht="15.75" x14ac:dyDescent="0.25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ht="15.75" x14ac:dyDescent="0.25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ht="15.75" x14ac:dyDescent="0.25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ht="15.75" x14ac:dyDescent="0.25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ht="15.75" x14ac:dyDescent="0.25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ht="15.75" x14ac:dyDescent="0.25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ht="15.75" x14ac:dyDescent="0.25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ht="15.75" x14ac:dyDescent="0.25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ht="15.75" x14ac:dyDescent="0.25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ht="15.75" x14ac:dyDescent="0.25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ht="15.75" x14ac:dyDescent="0.25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ht="15.75" x14ac:dyDescent="0.25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ht="15.75" x14ac:dyDescent="0.25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ht="15.75" x14ac:dyDescent="0.25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ht="15.75" x14ac:dyDescent="0.25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ht="15.75" x14ac:dyDescent="0.25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ht="15.75" x14ac:dyDescent="0.25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ht="15.75" x14ac:dyDescent="0.25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ht="15.75" x14ac:dyDescent="0.25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ht="15.75" x14ac:dyDescent="0.25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ht="15.75" x14ac:dyDescent="0.25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ht="15.75" x14ac:dyDescent="0.25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ht="15.75" x14ac:dyDescent="0.25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26" si="2">D67-C67-F67-E67-G67-H67-I67</f>
        <v>-100.1</v>
      </c>
    </row>
    <row r="68" spans="1:10" ht="15.75" x14ac:dyDescent="0.25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ht="15.75" x14ac:dyDescent="0.25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ht="15.75" x14ac:dyDescent="0.25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ht="15.75" x14ac:dyDescent="0.25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ht="15.75" x14ac:dyDescent="0.25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ht="15.75" x14ac:dyDescent="0.25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ht="15.75" x14ac:dyDescent="0.25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ht="15.75" x14ac:dyDescent="0.25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ht="15.75" x14ac:dyDescent="0.25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ht="15.75" x14ac:dyDescent="0.25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ht="15.75" x14ac:dyDescent="0.25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ht="15.75" x14ac:dyDescent="0.25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ht="15.75" x14ac:dyDescent="0.25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ht="15.75" x14ac:dyDescent="0.25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ht="15.75" x14ac:dyDescent="0.25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ht="15.75" x14ac:dyDescent="0.25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ht="15.75" x14ac:dyDescent="0.25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ht="15.75" x14ac:dyDescent="0.25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ht="15.75" x14ac:dyDescent="0.25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ht="15.75" x14ac:dyDescent="0.25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ht="15.75" x14ac:dyDescent="0.25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ht="15.75" x14ac:dyDescent="0.25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ht="15.75" x14ac:dyDescent="0.25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ht="15.75" x14ac:dyDescent="0.25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ht="15.75" x14ac:dyDescent="0.25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ht="15.75" x14ac:dyDescent="0.25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ht="15.75" x14ac:dyDescent="0.25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ht="15.75" x14ac:dyDescent="0.25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ht="15.75" x14ac:dyDescent="0.25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ht="15.75" x14ac:dyDescent="0.25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ht="15.75" x14ac:dyDescent="0.25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ht="15.75" x14ac:dyDescent="0.25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ht="15.75" x14ac:dyDescent="0.25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ht="15.75" x14ac:dyDescent="0.25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ht="15.75" x14ac:dyDescent="0.25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ht="15.75" x14ac:dyDescent="0.25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ht="15.75" x14ac:dyDescent="0.25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ht="15.75" x14ac:dyDescent="0.25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ht="15.75" x14ac:dyDescent="0.25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ht="15.75" x14ac:dyDescent="0.25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ht="15.75" x14ac:dyDescent="0.25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ht="15.75" x14ac:dyDescent="0.25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ht="15.75" x14ac:dyDescent="0.25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 t="shared" si="2"/>
        <v>3519.2</v>
      </c>
    </row>
    <row r="114" spans="1:10" ht="15.75" x14ac:dyDescent="0.25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ht="15.75" x14ac:dyDescent="0.25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ht="15.75" x14ac:dyDescent="0.25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ht="15.75" x14ac:dyDescent="0.25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ht="15.75" x14ac:dyDescent="0.25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ht="15.75" x14ac:dyDescent="0.25">
      <c r="A119" s="2">
        <f t="shared" ref="A119:A124" si="12"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ht="15.75" x14ac:dyDescent="0.25">
      <c r="A120" s="2">
        <f t="shared" si="12"/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ht="15.75" x14ac:dyDescent="0.25">
      <c r="A121" s="2">
        <f t="shared" si="12"/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ht="15.75" x14ac:dyDescent="0.25">
      <c r="A122" s="2">
        <f t="shared" si="12"/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ht="15.75" x14ac:dyDescent="0.25">
      <c r="A123" s="2">
        <f t="shared" si="12"/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  <row r="124" spans="1:10" ht="15.75" x14ac:dyDescent="0.25">
      <c r="A124" s="2">
        <f t="shared" si="12"/>
        <v>123</v>
      </c>
      <c r="B124" s="3">
        <v>45842</v>
      </c>
      <c r="C124" s="4">
        <v>100.1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21">
        <f t="shared" si="2"/>
        <v>-100.1</v>
      </c>
    </row>
    <row r="125" spans="1:10" ht="15.75" x14ac:dyDescent="0.25">
      <c r="A125" s="2">
        <f>A124+1</f>
        <v>124</v>
      </c>
      <c r="B125" s="3">
        <v>45849</v>
      </c>
      <c r="C125" s="4">
        <v>100.1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21">
        <f t="shared" si="2"/>
        <v>-100.1</v>
      </c>
    </row>
    <row r="126" spans="1:10" ht="15.75" x14ac:dyDescent="0.25">
      <c r="A126" s="2">
        <f>A125+1</f>
        <v>125</v>
      </c>
      <c r="B126" s="3">
        <v>45856</v>
      </c>
      <c r="C126" s="4">
        <v>100.1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2025-07-22T07:26:01Z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