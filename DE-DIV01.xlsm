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29" documentId="13_ncr:1_{32BD3745-769A-4363-92E4-3EACA8D86657}" xr6:coauthVersionLast="47" xr6:coauthVersionMax="47" xr10:uidLastSave="{87F8D98D-EC94-420B-8ED6-29EC101D2843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9" i="11" l="1"/>
  <c r="J119" i="11"/>
  <c r="K119" i="11"/>
  <c r="L119" i="11"/>
  <c r="A118" i="11"/>
  <c r="J118" i="11"/>
  <c r="K118" i="11"/>
  <c r="L118" i="11"/>
  <c r="A117" i="11"/>
  <c r="J117" i="11"/>
  <c r="K117" i="11"/>
  <c r="L117" i="11"/>
  <c r="A116" i="11"/>
  <c r="J116" i="11"/>
  <c r="K116" i="11"/>
  <c r="L116" i="11"/>
  <c r="A115" i="11"/>
  <c r="J115" i="11"/>
  <c r="K115" i="11"/>
  <c r="L115" i="11"/>
  <c r="J114" i="11"/>
  <c r="A114" i="11"/>
  <c r="K114" i="11"/>
  <c r="L114" i="11"/>
  <c r="F17" i="12"/>
  <c r="F20" i="12" s="1"/>
  <c r="J25" i="12"/>
  <c r="L25" i="12" s="1"/>
  <c r="J24" i="12"/>
  <c r="L24" i="12" s="1"/>
  <c r="A113" i="11"/>
  <c r="J113" i="11"/>
  <c r="K113" i="11"/>
  <c r="L113" i="11"/>
  <c r="A112" i="11"/>
  <c r="J112" i="11"/>
  <c r="K112" i="11"/>
  <c r="L112" i="11"/>
  <c r="A111" i="11"/>
  <c r="J111" i="11"/>
  <c r="K111" i="11"/>
  <c r="L111" i="1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/>
  <c r="P2" i="11"/>
  <c r="F13" i="12" s="1"/>
  <c r="O2" i="11"/>
  <c r="F12" i="12" s="1"/>
  <c r="A90" i="11"/>
  <c r="A91" i="11"/>
  <c r="J90" i="11"/>
  <c r="J91" i="11"/>
  <c r="J92" i="11"/>
  <c r="J93" i="11"/>
  <c r="J94" i="11"/>
  <c r="K90" i="11"/>
  <c r="K91" i="11"/>
  <c r="K92" i="11"/>
  <c r="K93" i="11"/>
  <c r="K9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N2" i="11"/>
  <c r="J77" i="11"/>
  <c r="K77" i="11"/>
  <c r="J76" i="11"/>
  <c r="K76" i="11"/>
  <c r="J73" i="11"/>
  <c r="J74" i="11"/>
  <c r="J75" i="11"/>
  <c r="K73" i="11"/>
  <c r="K74" i="11"/>
  <c r="K75" i="11"/>
  <c r="F11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/>
  <c r="L4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F14" i="12" l="1"/>
  <c r="F19" i="12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<sst xmlns="http://schemas.openxmlformats.org/spreadsheetml/2006/main" count="50" uniqueCount="39">
  <si>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</si>
  <si>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</si>
  <si>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</si>
  <si>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</si>
  <si>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</si>
  <si>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</si>
  <si>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</si>
  <si>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</si>
  <si>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</si>
  <si>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</si>
  <si>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</si>
  <si>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</si>
  <si>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</si>
  <si>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</si>
  <si>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</si>
  <si>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</si>
  <si>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</si>
  <si>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</si>
  <si>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</si>
  <si>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</si>
  <si>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</si>
  <si>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</si>
  <si>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</si>
  <si>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</si>
  <si>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+ 4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</si>
  <si>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</si>
  <si>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</si>
  <si>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</si>
  <si>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</si>
  <si>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</si>
  <si>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</si>
  <si>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</si>
  <si>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</si>
  <si>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</si>
  <si>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</si>
  <si>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+ 2</t>
  </si>
  <si>
    <t>+ 1</t>
  </si>
  <si>
    <t>+ 3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</si>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</sst>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9" totalsRowShown="0" headerRowDxfId="17" dataDxfId="16">
  <autoFilter ref="A1:L119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3" sqref="M13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33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38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118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22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96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18,64%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17392.710000000006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9755.9000000000178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7636.8099999999886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2607.2899999999936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29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25</v>
      </c>
      <c r="D24" s="29"/>
      <c r="E24" s="30"/>
      <c r="F24" s="14">
        <v>50</v>
      </c>
      <c r="G24" s="12" t="s">
        <v>36</v>
      </c>
      <c r="H24" s="16">
        <v>115</v>
      </c>
      <c r="I24" s="12" t="s">
        <v>37</v>
      </c>
      <c r="J24" s="16">
        <f>F24+H24</f>
        <v>165</v>
      </c>
      <c r="K24" s="12" t="s">
        <v>24</v>
      </c>
      <c r="L24" s="25" t="str">
        <f>TEXT(F24/J24,"0,00%")</f>
        <v>30,30%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26</v>
      </c>
      <c r="D25" s="29"/>
      <c r="E25" s="30"/>
      <c r="F25" s="14">
        <v>49</v>
      </c>
      <c r="G25" s="12" t="s">
        <v>34</v>
      </c>
      <c r="H25" s="16">
        <v>112</v>
      </c>
      <c r="I25" s="12" t="s">
        <v>24</v>
      </c>
      <c r="J25" s="16">
        <f>F25+H25</f>
        <v>161</v>
      </c>
      <c r="K25" s="12" t="s">
        <v>24</v>
      </c>
      <c r="L25" s="25" t="str">
        <f>TEXT(F25/J25,"0,00%")</f>
        <v>30,43%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27</v>
      </c>
      <c r="D26" s="29"/>
      <c r="E26" s="30"/>
      <c r="F26" s="14">
        <v>46</v>
      </c>
      <c r="G26" s="12" t="s">
        <v>35</v>
      </c>
      <c r="H26" s="16">
        <v>115</v>
      </c>
      <c r="I26" s="12" t="s">
        <v>35</v>
      </c>
      <c r="J26" s="16">
        <f>F26+H26</f>
        <v>161</v>
      </c>
      <c r="K26" s="12" t="s">
        <v>24</v>
      </c>
      <c r="L26" s="25" t="str">
        <f>TEXT(F26/J26,"0,00%")</f>
        <v>28,57%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28</v>
      </c>
      <c r="D27" s="48"/>
      <c r="E27" s="49"/>
      <c r="F27" s="15">
        <v>35</v>
      </c>
      <c r="G27" s="13" t="s">
        <v>35</v>
      </c>
      <c r="H27" s="17">
        <v>111</v>
      </c>
      <c r="I27" s="13" t="s">
        <v>35</v>
      </c>
      <c r="J27" s="17">
        <f>F27+H27</f>
        <v>146</v>
      </c>
      <c r="K27" s="13" t="s">
        <v>24</v>
      </c>
      <c r="L27" s="43" t="str">
        <f>TEXT(F27/J27,"0,00%")</f>
        <v>23,97%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4:M24"/>
    <mergeCell ref="L23:M23"/>
    <mergeCell ref="A26:B26"/>
    <mergeCell ref="C24:E24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5:M25"/>
    <mergeCell ref="A17:E17"/>
    <mergeCell ref="A18:E18"/>
    <mergeCell ref="C25:E25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9"/>
  <sheetViews>
    <sheetView zoomScale="90" zoomScaleNormal="90" workbookViewId="0">
      <pane ySplit="1" topLeftCell="A102" activePane="bottomLeft" state="frozen"/>
      <selection activeCell="C1" sqref="C1"/>
      <selection pane="bottomLeft" activeCell="A119" sqref="A11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30</v>
      </c>
      <c r="F1" s="1" t="s">
        <v>26</v>
      </c>
      <c r="G1" s="1" t="s">
        <v>25</v>
      </c>
      <c r="H1" s="1" t="s">
        <v>28</v>
      </c>
      <c r="I1" s="1" t="s">
        <v>27</v>
      </c>
      <c r="J1" s="1" t="s">
        <v>31</v>
      </c>
      <c r="K1" s="1" t="s">
        <v>32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118</v>
      </c>
      <c r="O2" s="5">
        <f>COUNTIF(D:D,"&gt;0")</f>
        <v>22</v>
      </c>
      <c r="P2" s="5">
        <f>COUNTIF(D:D,"0")</f>
        <v>96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 t="shared" ref="J111:J116" si="32"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 t="shared" si="32"/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 t="shared" ref="A113:A118" si="33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 t="shared" si="32"/>
        <v>3519.2</v>
      </c>
      <c r="K113" s="4">
        <f t="shared" ref="K113:K118" si="34">D113-C113</f>
        <v>5932.08</v>
      </c>
      <c r="L113" s="4">
        <f t="shared" ref="L113:L118" si="35">L112+K113</f>
        <v>8006.3300000000017</v>
      </c>
    </row>
    <row r="114" spans="1:12" ht="15.75" x14ac:dyDescent="0.25">
      <c r="A114" s="2">
        <f t="shared" si="33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 t="shared" si="32"/>
        <v>-100.1</v>
      </c>
      <c r="K114" s="4">
        <f t="shared" si="34"/>
        <v>-100.1</v>
      </c>
      <c r="L114" s="4">
        <f t="shared" si="35"/>
        <v>7906.2300000000014</v>
      </c>
    </row>
    <row r="115" spans="1:12" ht="15.75" x14ac:dyDescent="0.25">
      <c r="A115" s="2">
        <f t="shared" si="33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 t="shared" si="32"/>
        <v>-100.1</v>
      </c>
      <c r="K115" s="4">
        <f t="shared" si="34"/>
        <v>-100.1</v>
      </c>
      <c r="L115" s="4">
        <f t="shared" si="35"/>
        <v>7806.130000000001</v>
      </c>
    </row>
    <row r="116" spans="1:12" ht="15.75" x14ac:dyDescent="0.25">
      <c r="A116" s="2">
        <f t="shared" si="33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 t="shared" si="32"/>
        <v>-100.1</v>
      </c>
      <c r="K116" s="4">
        <f t="shared" si="34"/>
        <v>-100.1</v>
      </c>
      <c r="L116" s="4">
        <f t="shared" si="35"/>
        <v>7706.0300000000007</v>
      </c>
    </row>
    <row r="117" spans="1:12" ht="15.75" x14ac:dyDescent="0.25">
      <c r="A117" s="2">
        <f t="shared" si="33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f>D117-C117-E117-G117-F117-H117-I117</f>
        <v>-100.1</v>
      </c>
      <c r="K117" s="4">
        <f t="shared" si="34"/>
        <v>-100.1</v>
      </c>
      <c r="L117" s="4">
        <f t="shared" si="35"/>
        <v>7605.93</v>
      </c>
    </row>
    <row r="118" spans="1:12" ht="15.75" x14ac:dyDescent="0.25">
      <c r="A118" s="2">
        <f t="shared" si="33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f>D118-C118-E118-G118-F118-H118-I118</f>
        <v>-100.1</v>
      </c>
      <c r="K118" s="4">
        <f t="shared" si="34"/>
        <v>-100.1</v>
      </c>
      <c r="L118" s="4">
        <f t="shared" si="35"/>
        <v>7505.83</v>
      </c>
    </row>
    <row r="119" spans="1:12" ht="15.75" x14ac:dyDescent="0.25">
      <c r="A119" s="2">
        <f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4">
        <f>D119-C119-E119-G119-F119-H119-I119</f>
        <v>38.550000000000026</v>
      </c>
      <c r="K119" s="4">
        <f>D119-C119</f>
        <v>130.98000000000002</v>
      </c>
      <c r="L119" s="4">
        <f>L118+K119</f>
        <v>7636.8099999999995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2025-06-05T19:16:09Z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