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220" documentId="13_ncr:1_{32BD3745-769A-4363-92E4-3EACA8D86657}" xr6:coauthVersionLast="47" xr6:coauthVersionMax="47" xr10:uidLastSave="{08F5E2BF-E892-4509-B7EB-F578A89E476E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6" i="11" l="1"/>
  <c r="J116" i="11"/>
  <c r="K116" i="11"/>
  <c r="L116" i="11" s="1"/>
  <c r="A115" i="11"/>
  <c r="J115" i="11"/>
  <c r="K115" i="11"/>
  <c r="L115" i="11" s="1"/>
  <c r="J114" i="11"/>
  <c r="A114" i="11"/>
  <c r="K114" i="11"/>
  <c r="L114" i="11" s="1"/>
  <c r="F17" i="12"/>
  <c r="F20" i="12" s="1"/>
  <c r="J24" i="12"/>
  <c r="L24" i="12" s="1"/>
  <c r="J25" i="12"/>
  <c r="L25" i="12" s="1"/>
  <c r="A113" i="11"/>
  <c r="J113" i="11"/>
  <c r="K113" i="11"/>
  <c r="L113" i="11" s="1"/>
  <c r="A112" i="11"/>
  <c r="J112" i="11"/>
  <c r="K112" i="11"/>
  <c r="L112" i="11" s="1"/>
  <c r="A111" i="11"/>
  <c r="J111" i="11"/>
  <c r="K111" i="11"/>
  <c r="L111" i="11" s="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<sst xmlns="http://schemas.openxmlformats.org/spreadsheetml/2006/main" count="50" uniqueCount="39">
  <si>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</si>
  <si>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</si>
  <si>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</si>
  <si>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</si>
  <si>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</si>
  <si>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</si>
  <si>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</si>
  <si>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</si>
  <si>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</si>
  <si>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</si>
  <si>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</si>
  <si>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</si>
  <si>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</si>
  <si>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</si>
  <si>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</si>
  <si>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</si>
  <si>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</si>
  <si>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</si>
  <si>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</si>
  <si>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</si>
  <si>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</si>
  <si>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</si>
  <si>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</si>
  <si>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</si>
  <si>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</si>
  <si>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</si>
  <si>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+ 3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</si>
  <si>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</si>
  <si>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</si>
  <si>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</si>
  <si>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</si>
  <si>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</si>
  <si>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</si>
  <si>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</si>
  <si>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</si>
  <si>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</si>
  <si>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+ 0</t>
  </si>
  <si>
    <t>Stand: 12.05.2025</t>
  </si>
  <si>
    <t>+ 2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</si>
</sst>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6" totalsRowShown="0" headerRowDxfId="17" dataDxfId="16">
  <autoFilter ref="A1:L116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L33" sqref="L3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35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37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18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14</v>
      </c>
      <c r="B11" s="27"/>
      <c r="C11" s="27"/>
      <c r="D11" s="27"/>
      <c r="E11" s="27"/>
      <c r="F11" s="27">
        <f>Finanzen!N2</f>
        <v>115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21</v>
      </c>
      <c r="B12" s="27"/>
      <c r="C12" s="27"/>
      <c r="D12" s="27"/>
      <c r="E12" s="27"/>
      <c r="F12" s="31">
        <f>Finanzen!O2</f>
        <v>21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22</v>
      </c>
      <c r="B13" s="27"/>
      <c r="C13" s="27"/>
      <c r="D13" s="27"/>
      <c r="E13" s="27"/>
      <c r="F13" s="21">
        <f>Finanzen!P2</f>
        <v>94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7</v>
      </c>
      <c r="B14" s="27"/>
      <c r="C14" s="27"/>
      <c r="D14" s="27"/>
      <c r="E14" s="27"/>
      <c r="F14" s="27" t="str">
        <f>TEXT(Finanzen!O2/Finanzen!N2,"0,00%")</f>
        <v>18,26%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19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11</v>
      </c>
      <c r="B17" s="27"/>
      <c r="C17" s="27"/>
      <c r="D17" s="27"/>
      <c r="E17" s="27"/>
      <c r="F17" s="32">
        <f>SUM(Finanzen!D:D)</f>
        <v>17161.630000000005</v>
      </c>
      <c r="G17" s="32"/>
      <c r="H17" s="32"/>
      <c r="I17" s="3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12</v>
      </c>
      <c r="B18" s="27"/>
      <c r="C18" s="27"/>
      <c r="D18" s="27"/>
      <c r="E18" s="27"/>
      <c r="F18" s="32">
        <f>SUM(Finanzen!C:C)</f>
        <v>9455.6000000000167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7" t="s">
        <v>13</v>
      </c>
      <c r="B19" s="27"/>
      <c r="C19" s="27"/>
      <c r="D19" s="27"/>
      <c r="E19" s="27"/>
      <c r="F19" s="32">
        <f>F17-F18</f>
        <v>7706.0299999999879</v>
      </c>
      <c r="G19" s="32"/>
      <c r="H19" s="32"/>
      <c r="I19" s="32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7" t="s">
        <v>23</v>
      </c>
      <c r="B20" s="27"/>
      <c r="C20" s="27"/>
      <c r="D20" s="27"/>
      <c r="E20" s="27"/>
      <c r="F20" s="32">
        <f>20000-F17</f>
        <v>2838.3699999999953</v>
      </c>
      <c r="G20" s="32"/>
      <c r="H20" s="32"/>
      <c r="I20" s="32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0" t="s">
        <v>20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6" t="s">
        <v>17</v>
      </c>
      <c r="B23" s="37"/>
      <c r="C23" s="38" t="s">
        <v>5</v>
      </c>
      <c r="D23" s="39"/>
      <c r="E23" s="40"/>
      <c r="F23" s="33" t="s">
        <v>15</v>
      </c>
      <c r="G23" s="34"/>
      <c r="H23" s="33" t="s">
        <v>31</v>
      </c>
      <c r="I23" s="34"/>
      <c r="J23" s="35" t="s">
        <v>16</v>
      </c>
      <c r="K23" s="34"/>
      <c r="L23" s="35" t="s">
        <v>6</v>
      </c>
      <c r="M23" s="34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1">
        <v>1</v>
      </c>
      <c r="B24" s="42"/>
      <c r="C24" s="28" t="s">
        <v>28</v>
      </c>
      <c r="D24" s="29"/>
      <c r="E24" s="30"/>
      <c r="F24" s="14">
        <v>47</v>
      </c>
      <c r="G24" s="12" t="s">
        <v>38</v>
      </c>
      <c r="H24" s="16">
        <v>102</v>
      </c>
      <c r="I24" s="12" t="s">
        <v>38</v>
      </c>
      <c r="J24" s="16">
        <f>F24+H24</f>
        <v>149</v>
      </c>
      <c r="K24" s="12" t="s">
        <v>25</v>
      </c>
      <c r="L24" s="25" t="str">
        <f>TEXT(F24/J24,"0,00%")</f>
        <v>31,54%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41">
        <v>2</v>
      </c>
      <c r="B25" s="42"/>
      <c r="C25" s="28" t="s">
        <v>27</v>
      </c>
      <c r="D25" s="29"/>
      <c r="E25" s="30"/>
      <c r="F25" s="14">
        <v>45</v>
      </c>
      <c r="G25" s="12" t="s">
        <v>24</v>
      </c>
      <c r="H25" s="16">
        <v>108</v>
      </c>
      <c r="I25" s="12" t="s">
        <v>26</v>
      </c>
      <c r="J25" s="16">
        <f>F25+H25</f>
        <v>153</v>
      </c>
      <c r="K25" s="12" t="s">
        <v>25</v>
      </c>
      <c r="L25" s="25" t="str">
        <f>TEXT(F25/J25,"0,00%")</f>
        <v>29,41%</v>
      </c>
      <c r="M25" s="26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41">
        <v>3</v>
      </c>
      <c r="B26" s="42"/>
      <c r="C26" s="28" t="s">
        <v>29</v>
      </c>
      <c r="D26" s="29"/>
      <c r="E26" s="30"/>
      <c r="F26" s="14">
        <v>43</v>
      </c>
      <c r="G26" s="12" t="s">
        <v>36</v>
      </c>
      <c r="H26" s="16">
        <v>106</v>
      </c>
      <c r="I26" s="12" t="s">
        <v>25</v>
      </c>
      <c r="J26" s="16">
        <f>F26+H26</f>
        <v>149</v>
      </c>
      <c r="K26" s="12" t="s">
        <v>25</v>
      </c>
      <c r="L26" s="25" t="str">
        <f>TEXT(F26/J26,"0,00%")</f>
        <v>28,86%</v>
      </c>
      <c r="M26" s="26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5">
        <v>4</v>
      </c>
      <c r="B27" s="46"/>
      <c r="C27" s="47" t="s">
        <v>30</v>
      </c>
      <c r="D27" s="48"/>
      <c r="E27" s="49"/>
      <c r="F27" s="15">
        <v>33</v>
      </c>
      <c r="G27" s="13" t="s">
        <v>36</v>
      </c>
      <c r="H27" s="17">
        <v>101</v>
      </c>
      <c r="I27" s="13" t="s">
        <v>36</v>
      </c>
      <c r="J27" s="17">
        <f>F27+H27</f>
        <v>134</v>
      </c>
      <c r="K27" s="13" t="s">
        <v>36</v>
      </c>
      <c r="L27" s="43" t="str">
        <f>TEXT(F27/J27,"0,00%")</f>
        <v>24,63%</v>
      </c>
      <c r="M27" s="44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L27:M27"/>
    <mergeCell ref="A24:B24"/>
    <mergeCell ref="A25:B25"/>
    <mergeCell ref="A27:B27"/>
    <mergeCell ref="C27:E27"/>
    <mergeCell ref="L26:M26"/>
    <mergeCell ref="L25:M25"/>
    <mergeCell ref="L23:M23"/>
    <mergeCell ref="A26:B26"/>
    <mergeCell ref="C25:E25"/>
    <mergeCell ref="C26:E26"/>
    <mergeCell ref="F23:G23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6"/>
  <sheetViews>
    <sheetView zoomScale="90" zoomScaleNormal="90" workbookViewId="0">
      <pane ySplit="1" topLeftCell="A92" activePane="bottomLeft" state="frozen"/>
      <selection pane="bottomLeft" activeCell="J117" sqref="J117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32</v>
      </c>
      <c r="F1" s="1" t="s">
        <v>28</v>
      </c>
      <c r="G1" s="1" t="s">
        <v>27</v>
      </c>
      <c r="H1" s="1" t="s">
        <v>30</v>
      </c>
      <c r="I1" s="1" t="s">
        <v>29</v>
      </c>
      <c r="J1" s="1" t="s">
        <v>33</v>
      </c>
      <c r="K1" s="1" t="s">
        <v>34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115</v>
      </c>
      <c r="O2" s="5">
        <f>COUNTIF(D:D,"&gt;0")</f>
        <v>21</v>
      </c>
      <c r="P2" s="5">
        <f>COUNTIF(D:D,"0")</f>
        <v>94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>D112-C112-E112-G112-F112-H112-I112</f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>D113-C113-E113-G113-F113-H113-I113</f>
        <v>3519.2</v>
      </c>
      <c r="K113" s="4">
        <f>D113-C113</f>
        <v>5932.08</v>
      </c>
      <c r="L113" s="4">
        <f>L112+K113</f>
        <v>8006.3300000000017</v>
      </c>
    </row>
    <row r="114" spans="1:12" ht="15.75" x14ac:dyDescent="0.25">
      <c r="A114" s="2">
        <f>A113+1</f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>D114-C114-E114-G114-F114-H114-I114</f>
        <v>-100.1</v>
      </c>
      <c r="K114" s="4">
        <f>D114-C114</f>
        <v>-100.1</v>
      </c>
      <c r="L114" s="4">
        <f>L113+K114</f>
        <v>7906.2300000000014</v>
      </c>
    </row>
    <row r="115" spans="1:12" ht="15.75" x14ac:dyDescent="0.25">
      <c r="A115" s="2">
        <f>A114+1</f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f>D115-C115-E115-G115-F115-H115-I115</f>
        <v>-100.1</v>
      </c>
      <c r="K115" s="4">
        <f>D115-C115</f>
        <v>-100.1</v>
      </c>
      <c r="L115" s="4">
        <f>L114+K115</f>
        <v>7806.130000000001</v>
      </c>
    </row>
    <row r="116" spans="1:12" ht="15.75" x14ac:dyDescent="0.25">
      <c r="A116" s="2">
        <f>A115+1</f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f>D116-C116-E116-G116-F116-H116-I116</f>
        <v>-100.1</v>
      </c>
      <c r="K116" s="4">
        <f>D116-C116</f>
        <v>-100.1</v>
      </c>
      <c r="L116" s="4">
        <f>L115+K116</f>
        <v>7706.0300000000007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2025-05-12T18:53:23Z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