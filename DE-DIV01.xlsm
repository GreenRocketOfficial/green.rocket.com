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5" documentId="13_ncr:1_{32BD3745-769A-4363-92E4-3EACA8D86657}" xr6:coauthVersionLast="47" xr6:coauthVersionMax="47" xr10:uidLastSave="{6687F12E-B499-45A9-92CA-658A9B3B8DE7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2" i="11" l="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25" i="12"/>
  <c r="L25" i="12" s="1"/>
  <c r="J24" i="12"/>
  <c r="L24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7" i="12"/>
  <c r="F20" i="12" s="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<sst xmlns="http://schemas.openxmlformats.org/spreadsheetml/2006/main" count="50" uniqueCount="40">
  <si>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</si>
  <si>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</si>
  <si>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</si>
  <si>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</si>
  <si>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</si>
  <si>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</si>
  <si>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</si>
  <si>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</si>
  <si>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</si>
  <si>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</si>
  <si>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</si>
  <si>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</si>
  <si>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</si>
  <si>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</si>
  <si>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</si>
  <si>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</si>
  <si>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</si>
  <si>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</si>
  <si>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</si>
  <si>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</si>
  <si>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</si>
  <si>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</si>
  <si>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</si>
  <si>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</si>
  <si>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</si>
  <si>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</si>
  <si>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+ 0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</si>
  <si>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</si>
  <si>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</si>
  <si>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</si>
  <si>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</si>
  <si>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</si>
  <si>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</si>
  <si>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</si>
  <si>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</si>
  <si>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</si>
  <si>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</si>
  <si>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+ 2</t>
  </si>
  <si>
    <t>Stand: 14.04.2025</t>
  </si>
  <si>
    <t xml:space="preserve">+ 4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</si>
</sst>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2" totalsRowShown="0" headerRowDxfId="17" dataDxfId="16">
  <autoFilter ref="A1:L112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N26" sqref="N26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36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38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111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20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91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18,02%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7">
        <f>SUM(Finanzen!D:D)</f>
        <v>11129.450000000003</v>
      </c>
      <c r="G17" s="37"/>
      <c r="H17" s="37"/>
      <c r="I17" s="3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7">
        <f>SUM(Finanzen!C:C)</f>
        <v>9055.2000000000153</v>
      </c>
      <c r="G18" s="37"/>
      <c r="H18" s="37"/>
      <c r="I18" s="3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7">
        <f>F17-F18</f>
        <v>2074.2499999999873</v>
      </c>
      <c r="G19" s="37"/>
      <c r="H19" s="37"/>
      <c r="I19" s="3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7">
        <f>20000-F17</f>
        <v>8870.5499999999975</v>
      </c>
      <c r="G20" s="37"/>
      <c r="H20" s="37"/>
      <c r="I20" s="3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2" t="s">
        <v>17</v>
      </c>
      <c r="B23" s="33"/>
      <c r="C23" s="34" t="s">
        <v>5</v>
      </c>
      <c r="D23" s="35"/>
      <c r="E23" s="36"/>
      <c r="F23" s="38" t="s">
        <v>15</v>
      </c>
      <c r="G23" s="39"/>
      <c r="H23" s="38" t="s">
        <v>32</v>
      </c>
      <c r="I23" s="39"/>
      <c r="J23" s="40" t="s">
        <v>16</v>
      </c>
      <c r="K23" s="39"/>
      <c r="L23" s="40" t="s">
        <v>6</v>
      </c>
      <c r="M23" s="39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28</v>
      </c>
      <c r="D24" s="29"/>
      <c r="E24" s="30"/>
      <c r="F24" s="14">
        <v>40</v>
      </c>
      <c r="G24" s="12" t="s">
        <v>26</v>
      </c>
      <c r="H24" s="16">
        <v>97</v>
      </c>
      <c r="I24" s="12" t="s">
        <v>39</v>
      </c>
      <c r="J24" s="16">
        <f>F24+H24</f>
        <v>137</v>
      </c>
      <c r="K24" s="12" t="s">
        <v>25</v>
      </c>
      <c r="L24" s="25" t="str">
        <f>TEXT(F24/J24,"0,00%")</f>
        <v>29,20%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29</v>
      </c>
      <c r="D25" s="29"/>
      <c r="E25" s="30"/>
      <c r="F25" s="14">
        <v>39</v>
      </c>
      <c r="G25" s="12" t="s">
        <v>24</v>
      </c>
      <c r="H25" s="16">
        <v>94</v>
      </c>
      <c r="I25" s="12" t="s">
        <v>27</v>
      </c>
      <c r="J25" s="16">
        <f>F25+H25</f>
        <v>133</v>
      </c>
      <c r="K25" s="12" t="s">
        <v>25</v>
      </c>
      <c r="L25" s="25" t="str">
        <f>TEXT(F25/J25,"0,00%")</f>
        <v>29,32%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30</v>
      </c>
      <c r="D26" s="29"/>
      <c r="E26" s="30"/>
      <c r="F26" s="14">
        <v>37</v>
      </c>
      <c r="G26" s="12" t="s">
        <v>37</v>
      </c>
      <c r="H26" s="16">
        <v>96</v>
      </c>
      <c r="I26" s="12" t="s">
        <v>37</v>
      </c>
      <c r="J26" s="16">
        <f>F26+H26</f>
        <v>133</v>
      </c>
      <c r="K26" s="12" t="s">
        <v>25</v>
      </c>
      <c r="L26" s="25" t="str">
        <f>TEXT(F26/J26,"0,00%")</f>
        <v>27,82%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31</v>
      </c>
      <c r="D27" s="48"/>
      <c r="E27" s="49"/>
      <c r="F27" s="15">
        <v>28</v>
      </c>
      <c r="G27" s="13" t="s">
        <v>37</v>
      </c>
      <c r="H27" s="17">
        <v>94</v>
      </c>
      <c r="I27" s="13" t="s">
        <v>37</v>
      </c>
      <c r="J27" s="17">
        <f>F27+H27</f>
        <v>122</v>
      </c>
      <c r="K27" s="13" t="s">
        <v>25</v>
      </c>
      <c r="L27" s="43" t="str">
        <f>TEXT(F27/J27,"0,00%")</f>
        <v>22,95%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2"/>
  <sheetViews>
    <sheetView zoomScale="90" zoomScaleNormal="90" workbookViewId="0">
      <pane ySplit="1" topLeftCell="A85" activePane="bottomLeft" state="frozen"/>
      <selection pane="bottomLeft" activeCell="K92" sqref="K9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33</v>
      </c>
      <c r="F1" s="1" t="s">
        <v>29</v>
      </c>
      <c r="G1" s="1" t="s">
        <v>28</v>
      </c>
      <c r="H1" s="1" t="s">
        <v>31</v>
      </c>
      <c r="I1" s="1" t="s">
        <v>30</v>
      </c>
      <c r="J1" s="1" t="s">
        <v>34</v>
      </c>
      <c r="K1" s="1" t="s">
        <v>35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111</v>
      </c>
      <c r="O2" s="5">
        <f>COUNTIF(D:D,"&gt;0")</f>
        <v>20</v>
      </c>
      <c r="P2" s="5">
        <f>COUNTIF(D:D,"0")</f>
        <v>91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>D107-C107</f>
        <v>-100.1</v>
      </c>
      <c r="L107" s="4">
        <f>L106+K107</f>
        <v>2382.9300000000017</v>
      </c>
    </row>
    <row r="108" spans="1:12" ht="15.75" x14ac:dyDescent="0.25">
      <c r="A108" s="2">
        <f>A107+1</f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>D108-C108</f>
        <v>-100.1</v>
      </c>
      <c r="L108" s="4">
        <f>L107+K108</f>
        <v>2282.8300000000017</v>
      </c>
    </row>
    <row r="109" spans="1:12" ht="15.75" x14ac:dyDescent="0.25">
      <c r="A109" s="2">
        <f>A108+1</f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>D109-C109</f>
        <v>-100.1</v>
      </c>
      <c r="L109" s="4">
        <f>L108+K109</f>
        <v>2182.7300000000018</v>
      </c>
    </row>
    <row r="110" spans="1:12" ht="15.75" x14ac:dyDescent="0.25">
      <c r="A110" s="2">
        <f>A109+1</f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>D110-C110</f>
        <v>6.230000000000004</v>
      </c>
      <c r="L110" s="4">
        <f>L109+K110</f>
        <v>2188.9600000000019</v>
      </c>
    </row>
    <row r="111" spans="1:12" ht="15.75" x14ac:dyDescent="0.25">
      <c r="A111" s="2">
        <f>A110+1</f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>D111-C111</f>
        <v>-100.1</v>
      </c>
      <c r="L111" s="4">
        <f>L110+K111</f>
        <v>2088.8600000000019</v>
      </c>
    </row>
    <row r="112" spans="1:12" ht="15.75" x14ac:dyDescent="0.25">
      <c r="A112" s="2">
        <f>A111+1</f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>D112-C112</f>
        <v>-14.61</v>
      </c>
      <c r="L112" s="4">
        <f>L111+K112</f>
        <v>2074.2500000000018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2025-04-14T19:47:58Z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