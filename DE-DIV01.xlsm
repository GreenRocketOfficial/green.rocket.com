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252" documentId="13_ncr:1_{32BD3745-769A-4363-92E4-3EACA8D86657}" xr6:coauthVersionLast="47" xr6:coauthVersionMax="47" xr10:uidLastSave="{9433A20B-85AF-4BEE-9138-6D9A5BF91872}"/>
  <bookViews>
    <workbookView xWindow="11895" yWindow="0" windowWidth="12210" windowHeight="12885" xr2:uid="{01A82109-CFE8-4870-8A32-C4C48630416A}"/>
  </bookViews>
  <sheets>
    <sheet name="Dashboard" sheetId="12" r:id="rId1"/>
    <sheet name="Finanzen" sheetId="11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17" i="11" l="1"/>
  <c r="J117" i="11"/>
  <c r="K117" i="11"/>
  <c r="L117" i="11"/>
  <c r="A116" i="11"/>
  <c r="J116" i="11"/>
  <c r="K116" i="11"/>
  <c r="L116" i="11" s="1"/>
  <c r="A115" i="11"/>
  <c r="J115" i="11"/>
  <c r="K115" i="11"/>
  <c r="L115" i="11" s="1"/>
  <c r="J114" i="11"/>
  <c r="A114" i="11"/>
  <c r="K114" i="11"/>
  <c r="L114" i="11" s="1"/>
  <c r="F17" i="12"/>
  <c r="F20" i="12" s="1"/>
  <c r="J24" i="12"/>
  <c r="L24" i="12" s="1"/>
  <c r="J25" i="12"/>
  <c r="L25" i="12" s="1"/>
  <c r="A113" i="11"/>
  <c r="J113" i="11"/>
  <c r="K113" i="11"/>
  <c r="L113" i="11" s="1"/>
  <c r="A112" i="11"/>
  <c r="J112" i="11"/>
  <c r="K112" i="11"/>
  <c r="L112" i="11" s="1"/>
  <c r="A111" i="11"/>
  <c r="J111" i="11"/>
  <c r="K111" i="11"/>
  <c r="L111" i="11" s="1"/>
  <c r="L5" i="11"/>
  <c r="K5" i="11"/>
  <c r="J5" i="11"/>
  <c r="J27" i="12"/>
  <c r="L27" i="12" s="1"/>
  <c r="J26" i="12"/>
  <c r="L26" i="12" s="1"/>
  <c r="J110" i="11"/>
  <c r="K110" i="11"/>
  <c r="J109" i="11"/>
  <c r="K109" i="11"/>
  <c r="J108" i="11"/>
  <c r="K108" i="11"/>
  <c r="J107" i="11"/>
  <c r="K107" i="11"/>
  <c r="J106" i="11"/>
  <c r="K106" i="11"/>
  <c r="J105" i="11"/>
  <c r="K105" i="11"/>
  <c r="J104" i="11"/>
  <c r="K104" i="11"/>
  <c r="J103" i="11"/>
  <c r="K103" i="11"/>
  <c r="J102" i="11"/>
  <c r="K102" i="11"/>
  <c r="J101" i="11"/>
  <c r="K101" i="11"/>
  <c r="J100" i="11"/>
  <c r="K100" i="11"/>
  <c r="J99" i="11"/>
  <c r="K99" i="11"/>
  <c r="J98" i="11"/>
  <c r="K98" i="11"/>
  <c r="J97" i="11"/>
  <c r="K97" i="11"/>
  <c r="J96" i="11"/>
  <c r="K96" i="11"/>
  <c r="J95" i="11"/>
  <c r="K95" i="11"/>
  <c r="F18" i="12" l="1"/>
  <c r="P2" i="11"/>
  <c r="F13" i="12" s="1"/>
  <c r="O2" i="11"/>
  <c r="F12" i="12" s="1"/>
  <c r="A90" i="11"/>
  <c r="A91" i="11" s="1"/>
  <c r="J90" i="11"/>
  <c r="J91" i="11"/>
  <c r="J92" i="11"/>
  <c r="J93" i="11"/>
  <c r="J94" i="11"/>
  <c r="K90" i="11"/>
  <c r="K91" i="11"/>
  <c r="K92" i="11"/>
  <c r="K93" i="11"/>
  <c r="K94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7" i="1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J89" i="11"/>
  <c r="K89" i="11"/>
  <c r="J88" i="11"/>
  <c r="K88" i="11"/>
  <c r="J87" i="11"/>
  <c r="K87" i="11"/>
  <c r="J86" i="11"/>
  <c r="K86" i="11"/>
  <c r="J85" i="11"/>
  <c r="K85" i="11"/>
  <c r="J84" i="11"/>
  <c r="K84" i="11"/>
  <c r="K83" i="11"/>
  <c r="J83" i="11"/>
  <c r="K82" i="11"/>
  <c r="J82" i="11"/>
  <c r="K81" i="11"/>
  <c r="J81" i="11"/>
  <c r="K80" i="11"/>
  <c r="J80" i="11"/>
  <c r="K79" i="11"/>
  <c r="J79" i="11"/>
  <c r="K78" i="11"/>
  <c r="J78" i="11"/>
  <c r="F19" i="12" l="1"/>
  <c r="A92" i="1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N2" i="11"/>
  <c r="J77" i="11"/>
  <c r="K77" i="11"/>
  <c r="J76" i="11"/>
  <c r="K76" i="11"/>
  <c r="J73" i="11"/>
  <c r="J74" i="11"/>
  <c r="J75" i="11"/>
  <c r="K73" i="11"/>
  <c r="K74" i="11"/>
  <c r="K75" i="11"/>
  <c r="F11" i="12" l="1"/>
  <c r="F14" i="12"/>
  <c r="K72" i="11"/>
  <c r="J72" i="11"/>
  <c r="K71" i="11"/>
  <c r="J71" i="11"/>
  <c r="K70" i="11"/>
  <c r="J70" i="11"/>
  <c r="K69" i="11"/>
  <c r="J69" i="11"/>
  <c r="K68" i="11"/>
  <c r="J68" i="11"/>
  <c r="K67" i="11"/>
  <c r="J67" i="11"/>
  <c r="K66" i="11"/>
  <c r="J66" i="11"/>
  <c r="K65" i="11"/>
  <c r="J65" i="11"/>
  <c r="K64" i="11"/>
  <c r="J64" i="11"/>
  <c r="K63" i="11"/>
  <c r="J63" i="11"/>
  <c r="K62" i="11"/>
  <c r="J62" i="11"/>
  <c r="K61" i="11"/>
  <c r="J61" i="11"/>
  <c r="K60" i="11"/>
  <c r="J60" i="11"/>
  <c r="K59" i="11"/>
  <c r="J59" i="11"/>
  <c r="K58" i="11"/>
  <c r="J58" i="11"/>
  <c r="K57" i="11"/>
  <c r="J57" i="11"/>
  <c r="K56" i="11"/>
  <c r="J56" i="11"/>
  <c r="K55" i="11"/>
  <c r="J55" i="11"/>
  <c r="K54" i="11"/>
  <c r="J54" i="11"/>
  <c r="K53" i="11"/>
  <c r="J53" i="11"/>
  <c r="K52" i="11"/>
  <c r="J52" i="11"/>
  <c r="K51" i="11"/>
  <c r="J51" i="11"/>
  <c r="K50" i="11"/>
  <c r="J50" i="11"/>
  <c r="K49" i="11"/>
  <c r="J49" i="11"/>
  <c r="K48" i="11"/>
  <c r="J48" i="11"/>
  <c r="K47" i="11"/>
  <c r="J47" i="11"/>
  <c r="K46" i="11"/>
  <c r="J46" i="11"/>
  <c r="K45" i="11"/>
  <c r="J45" i="11"/>
  <c r="K44" i="11"/>
  <c r="J44" i="11"/>
  <c r="K43" i="11"/>
  <c r="J43" i="11"/>
  <c r="K42" i="11"/>
  <c r="J42" i="11"/>
  <c r="K41" i="11"/>
  <c r="J41" i="11"/>
  <c r="K40" i="11"/>
  <c r="J40" i="11"/>
  <c r="K39" i="11"/>
  <c r="J39" i="11"/>
  <c r="K38" i="11"/>
  <c r="J38" i="11"/>
  <c r="K37" i="11"/>
  <c r="J37" i="11"/>
  <c r="K36" i="11"/>
  <c r="J36" i="11"/>
  <c r="K35" i="11"/>
  <c r="J35" i="11"/>
  <c r="K34" i="11"/>
  <c r="J34" i="11"/>
  <c r="K33" i="11"/>
  <c r="J33" i="11"/>
  <c r="K32" i="11"/>
  <c r="J32" i="11"/>
  <c r="K31" i="11"/>
  <c r="J31" i="11"/>
  <c r="K30" i="11"/>
  <c r="J30" i="11"/>
  <c r="K29" i="11"/>
  <c r="J29" i="11"/>
  <c r="K28" i="11"/>
  <c r="J28" i="11"/>
  <c r="K27" i="11"/>
  <c r="J27" i="11"/>
  <c r="K26" i="11"/>
  <c r="J26" i="11"/>
  <c r="K25" i="11"/>
  <c r="J25" i="11"/>
  <c r="K24" i="11"/>
  <c r="J24" i="11"/>
  <c r="K23" i="11"/>
  <c r="J23" i="11"/>
  <c r="K22" i="11"/>
  <c r="J22" i="11"/>
  <c r="K21" i="11"/>
  <c r="J21" i="11"/>
  <c r="K20" i="11"/>
  <c r="J20" i="11"/>
  <c r="K19" i="11"/>
  <c r="J19" i="11"/>
  <c r="K18" i="11"/>
  <c r="J18" i="11"/>
  <c r="K17" i="11"/>
  <c r="J17" i="11"/>
  <c r="K16" i="11"/>
  <c r="J16" i="11"/>
  <c r="K15" i="11"/>
  <c r="J15" i="11"/>
  <c r="K14" i="11"/>
  <c r="J14" i="11"/>
  <c r="K13" i="11"/>
  <c r="J13" i="11"/>
  <c r="K12" i="11"/>
  <c r="J12" i="11"/>
  <c r="K11" i="11"/>
  <c r="J11" i="11"/>
  <c r="K10" i="11"/>
  <c r="J10" i="11"/>
  <c r="K9" i="11"/>
  <c r="J9" i="11"/>
  <c r="K8" i="11"/>
  <c r="J8" i="11"/>
  <c r="K7" i="11"/>
  <c r="J7" i="11"/>
  <c r="K6" i="11"/>
  <c r="J6" i="11"/>
  <c r="K4" i="11"/>
  <c r="J4" i="11"/>
  <c r="K3" i="11"/>
  <c r="J3" i="11"/>
  <c r="K2" i="11"/>
  <c r="J2" i="11"/>
  <c r="L3" i="11" l="1"/>
  <c r="L4" i="11" s="1"/>
  <c r="L6" i="11" s="1"/>
  <c r="L7" i="11" s="1"/>
  <c r="L8" i="11" s="1"/>
  <c r="L9" i="11" s="1"/>
  <c r="L10" i="11" s="1"/>
  <c r="L11" i="11" s="1"/>
  <c r="L12" i="11" s="1"/>
  <c r="L13" i="11" s="1"/>
  <c r="L14" i="11" s="1"/>
  <c r="L15" i="11" s="1"/>
  <c r="L16" i="11" s="1"/>
  <c r="L17" i="11" s="1"/>
  <c r="L18" i="11" s="1"/>
  <c r="L19" i="11" s="1"/>
  <c r="L20" i="11" s="1"/>
  <c r="L21" i="11" s="1"/>
  <c r="L22" i="11" s="1"/>
  <c r="L23" i="11" s="1"/>
  <c r="L24" i="11" s="1"/>
  <c r="L25" i="11" s="1"/>
  <c r="L26" i="11" s="1"/>
  <c r="L27" i="11" s="1"/>
  <c r="L28" i="11" s="1"/>
  <c r="L29" i="11" s="1"/>
  <c r="L30" i="11" s="1"/>
  <c r="L31" i="11" s="1"/>
  <c r="L32" i="11" s="1"/>
  <c r="L33" i="11" s="1"/>
  <c r="L34" i="11" s="1"/>
  <c r="L35" i="11" s="1"/>
  <c r="L36" i="11" s="1"/>
  <c r="L37" i="11" s="1"/>
  <c r="L38" i="11" s="1"/>
  <c r="L39" i="11" s="1"/>
  <c r="L40" i="11" s="1"/>
  <c r="L41" i="11" s="1"/>
  <c r="L42" i="11" s="1"/>
  <c r="L43" i="11" s="1"/>
  <c r="L44" i="11" s="1"/>
  <c r="L45" i="11" s="1"/>
  <c r="L46" i="11" s="1"/>
  <c r="L47" i="11" s="1"/>
  <c r="L48" i="11" s="1"/>
  <c r="L49" i="11" s="1"/>
  <c r="L50" i="11" s="1"/>
  <c r="L51" i="11" s="1"/>
  <c r="L52" i="11" s="1"/>
  <c r="L53" i="11" s="1"/>
  <c r="L54" i="11" s="1"/>
  <c r="L55" i="11" s="1"/>
  <c r="L56" i="11" s="1"/>
  <c r="L57" i="11" s="1"/>
  <c r="L58" i="11" s="1"/>
  <c r="L59" i="11" s="1"/>
  <c r="L60" i="11" s="1"/>
  <c r="L61" i="11" s="1"/>
  <c r="L62" i="11" s="1"/>
  <c r="L63" i="11" s="1"/>
  <c r="L64" i="11" s="1"/>
  <c r="L65" i="11" s="1"/>
  <c r="L66" i="11" s="1"/>
  <c r="L67" i="11" s="1"/>
  <c r="L68" i="11" s="1"/>
  <c r="L69" i="11" s="1"/>
  <c r="L70" i="11" s="1"/>
  <c r="L71" i="11" s="1"/>
  <c r="L72" i="11" s="1"/>
  <c r="L73" i="11" s="1"/>
  <c r="L74" i="11" s="1"/>
  <c r="L75" i="11" s="1"/>
  <c r="L76" i="11" s="1"/>
  <c r="L77" i="11" s="1"/>
  <c r="L78" i="11" s="1"/>
  <c r="L79" i="11" s="1"/>
  <c r="L80" i="11" s="1"/>
  <c r="L81" i="11" s="1"/>
  <c r="L82" i="11" s="1"/>
  <c r="L83" i="11" s="1"/>
  <c r="L84" i="11" s="1"/>
  <c r="L85" i="11" s="1"/>
  <c r="L86" i="11" s="1"/>
  <c r="L87" i="11" s="1"/>
  <c r="L88" i="11" s="1"/>
  <c r="L89" i="11" s="1"/>
  <c r="L90" i="11" s="1"/>
  <c r="L91" i="11" s="1"/>
  <c r="L92" i="11" s="1"/>
  <c r="L93" i="11" s="1"/>
  <c r="L94" i="11" s="1"/>
  <c r="L95" i="11" s="1"/>
  <c r="L96" i="11" s="1"/>
  <c r="L97" i="11" s="1"/>
  <c r="L98" i="11" s="1"/>
  <c r="L99" i="11" s="1"/>
  <c r="L100" i="11" s="1"/>
  <c r="L101" i="11" s="1"/>
  <c r="L102" i="11" s="1"/>
  <c r="L103" i="11" s="1"/>
  <c r="L104" i="11" s="1"/>
  <c r="L105" i="11" s="1"/>
  <c r="L106" i="11" s="1"/>
  <c r="L107" i="11" s="1"/>
  <c r="L108" i="11" s="1"/>
  <c r="L109" i="11" s="1"/>
  <c r="L110" i="11" s="1"/>
</calcChain>
</file>

<file path=xl/sharedStrings.xml><?xml version="1.0" encoding="utf-8"?>
<sst xmlns="http://schemas.openxmlformats.org/spreadsheetml/2006/main" count="50" uniqueCount="37">
  <si>
    <t>Datum</t>
  </si>
  <si>
    <t>Schein</t>
  </si>
  <si>
    <t>Einsatz</t>
  </si>
  <si>
    <t>Gewinn</t>
  </si>
  <si>
    <t>GuV insgesamt</t>
  </si>
  <si>
    <t>Mitarbeiter</t>
  </si>
  <si>
    <t>Quote</t>
  </si>
  <si>
    <t>Gewinnquote:</t>
  </si>
  <si>
    <t>Anzahl</t>
  </si>
  <si>
    <t>Gewonnen</t>
  </si>
  <si>
    <t>Verloren</t>
  </si>
  <si>
    <t>Umsatz:</t>
  </si>
  <si>
    <t>Gesamtausgaben:</t>
  </si>
  <si>
    <t>Gewinn: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</si>
  <si>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</si>
  <si>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</si>
  <si>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</si>
  <si>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</si>
  <si>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</si>
  <si>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</si>
  <si>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</si>
  <si>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</si>
  <si>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</si>
  <si>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Jahresziel:</t>
  </si>
  <si>
    <t>+ 4</t>
  </si>
  <si>
    <t>DE002</t>
  </si>
  <si>
    <t>DE001</t>
  </si>
  <si>
    <t>DE004</t>
  </si>
  <si>
    <t>DE003</t>
  </si>
  <si>
    <t>falsch</t>
  </si>
  <si>
    <t>entlassen</t>
  </si>
  <si>
    <t>Green Rocket</t>
  </si>
  <si>
    <t>GuV Schein</t>
  </si>
  <si>
    <t>Statistik Division 1</t>
  </si>
  <si>
    <t>+ 0</t>
  </si>
  <si>
    <t>+ 2</t>
  </si>
  <si>
    <t>Stand: 19.05.2025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</si>
</sst>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3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0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44" fontId="10" fillId="3" borderId="0" xfId="1" applyFont="1" applyFill="1" applyBorder="1" applyAlignment="1">
      <alignment horizontal="center"/>
    </xf>
    <xf numFmtId="0" fontId="10" fillId="3" borderId="8" xfId="0" quotePrefix="1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L117" totalsRowShown="0" headerRowDxfId="17" dataDxfId="16">
  <autoFilter ref="A1:L117" xr:uid="{88D03EAD-FCD1-41E9-9F29-AD875E11F573}"/>
  <tableColumns count="12">
    <tableColumn id="1" xr3:uid="{A3BD6718-E357-48A5-BF52-93E1862EA006}" name="Schein" dataDxfId="15">
      <calculatedColumnFormula>A1+1</calculatedColumnFormula>
    </tableColumn>
    <tableColumn id="2" xr3:uid="{AAC5DE87-86DB-49A9-B08E-17847DCCB29D}" name="Datum" dataDxfId="14"/>
    <tableColumn id="3" xr3:uid="{5EDCD2AF-46FF-4983-B496-F15DA7A71693}" name="Einsatz" dataDxfId="13"/>
    <tableColumn id="4" xr3:uid="{8B5073FD-5EB5-4C76-AEB5-C4FC4244985D}" name="Gewinn" dataDxfId="12"/>
    <tableColumn id="5" xr3:uid="{FA63E364-1EDC-42C2-85A8-AA6635EED961}" name="entlassen" dataDxfId="11"/>
    <tableColumn id="6" xr3:uid="{0CC11F64-2722-43BD-96D8-11D3926704EB}" name="DE001" dataDxfId="10"/>
    <tableColumn id="7" xr3:uid="{5E213DFF-7615-48CF-8944-4C071C187C55}" name="DE002" dataDxfId="9"/>
    <tableColumn id="8" xr3:uid="{265603BC-E9E1-462B-9A6D-C0F306480253}" name="DE003" dataDxfId="8"/>
    <tableColumn id="9" xr3:uid="{8305AF6F-BFE9-4D5B-8B01-3CF39FA2D0B3}" name="DE004" dataDxfId="7"/>
    <tableColumn id="10" xr3:uid="{C69C42F8-942E-4D0C-ADEC-2A260C5FF4AA}" name="Green Rocket" dataDxfId="6">
      <calculatedColumnFormula>D2-C2-E2-G2-F2-H2-I2</calculatedColumnFormula>
    </tableColumn>
    <tableColumn id="11" xr3:uid="{E3C3DFA5-4611-4737-A985-26C01F4141A8}" name="GuV Schein" dataDxfId="5">
      <calculatedColumnFormula>D2-C2</calculatedColumnFormula>
    </tableColumn>
    <tableColumn id="12" xr3:uid="{B7166EC4-5820-4EB8-847D-AFA82B91E9FE}" name="GuV insgesamt" dataDxfId="4">
      <calculatedColumnFormula>L1+K2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N1:P2" totalsRowShown="0" dataDxfId="3">
  <autoFilter ref="N1:P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101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L13" sqref="L13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8"/>
      <c r="B1" s="18"/>
      <c r="C1" s="22" t="s">
        <v>33</v>
      </c>
      <c r="D1" s="22"/>
      <c r="E1" s="22"/>
      <c r="F1" s="22"/>
      <c r="G1" s="22"/>
      <c r="H1" s="22"/>
      <c r="I1" s="22"/>
      <c r="J1" s="22"/>
      <c r="K1" s="22"/>
      <c r="L1" s="22"/>
      <c r="M1" s="22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5">
      <c r="A2" s="18"/>
      <c r="B2" s="18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5">
      <c r="A3" s="18"/>
      <c r="B3" s="18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5">
      <c r="A4" s="18"/>
      <c r="B4" s="18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5">
      <c r="A5" s="18"/>
      <c r="B5" s="18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5">
      <c r="A6" s="18"/>
      <c r="B6" s="18"/>
      <c r="C6" s="18"/>
      <c r="D6" s="18"/>
      <c r="E6" s="18"/>
      <c r="F6" s="18"/>
      <c r="G6" s="23" t="s">
        <v>36</v>
      </c>
      <c r="H6" s="24"/>
      <c r="I6" s="24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24"/>
      <c r="H7" s="24"/>
      <c r="I7" s="24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20" t="s">
        <v>18</v>
      </c>
      <c r="B10" s="20"/>
      <c r="C10" s="20"/>
      <c r="D10" s="20"/>
      <c r="E10" s="20"/>
      <c r="F10" s="20"/>
      <c r="G10" s="20"/>
      <c r="H10" s="20"/>
      <c r="I10" s="20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27" t="s">
        <v>14</v>
      </c>
      <c r="B11" s="27"/>
      <c r="C11" s="27"/>
      <c r="D11" s="27"/>
      <c r="E11" s="27"/>
      <c r="F11" s="27">
        <f>Finanzen!N2</f>
        <v>116</v>
      </c>
      <c r="G11" s="27"/>
      <c r="H11" s="27"/>
      <c r="I11" s="2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27" t="s">
        <v>21</v>
      </c>
      <c r="B12" s="27"/>
      <c r="C12" s="27"/>
      <c r="D12" s="27"/>
      <c r="E12" s="27"/>
      <c r="F12" s="31">
        <f>Finanzen!O2</f>
        <v>21</v>
      </c>
      <c r="G12" s="31"/>
      <c r="H12" s="31"/>
      <c r="I12" s="31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27" t="s">
        <v>22</v>
      </c>
      <c r="B13" s="27"/>
      <c r="C13" s="27"/>
      <c r="D13" s="27"/>
      <c r="E13" s="27"/>
      <c r="F13" s="21">
        <f>Finanzen!P2</f>
        <v>95</v>
      </c>
      <c r="G13" s="21"/>
      <c r="H13" s="21"/>
      <c r="I13" s="21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27" t="s">
        <v>7</v>
      </c>
      <c r="B14" s="27"/>
      <c r="C14" s="27"/>
      <c r="D14" s="27"/>
      <c r="E14" s="27"/>
      <c r="F14" s="27" t="str">
        <f>TEXT(Finanzen!O2/Finanzen!N2,"0,00%")</f>
        <v>18,10%</v>
      </c>
      <c r="G14" s="27"/>
      <c r="H14" s="27"/>
      <c r="I14" s="2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20" t="s">
        <v>19</v>
      </c>
      <c r="B16" s="20"/>
      <c r="C16" s="20"/>
      <c r="D16" s="20"/>
      <c r="E16" s="20"/>
      <c r="F16" s="20"/>
      <c r="G16" s="20"/>
      <c r="H16" s="20"/>
      <c r="I16" s="20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27" t="s">
        <v>11</v>
      </c>
      <c r="B17" s="27"/>
      <c r="C17" s="27"/>
      <c r="D17" s="27"/>
      <c r="E17" s="27"/>
      <c r="F17" s="32">
        <f>SUM(Finanzen!D:D)</f>
        <v>17161.630000000005</v>
      </c>
      <c r="G17" s="32"/>
      <c r="H17" s="32"/>
      <c r="I17" s="32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27" t="s">
        <v>12</v>
      </c>
      <c r="B18" s="27"/>
      <c r="C18" s="27"/>
      <c r="D18" s="27"/>
      <c r="E18" s="27"/>
      <c r="F18" s="32">
        <f>SUM(Finanzen!C:C)</f>
        <v>9555.7000000000171</v>
      </c>
      <c r="G18" s="32"/>
      <c r="H18" s="32"/>
      <c r="I18" s="32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66" ht="46.5" x14ac:dyDescent="0.7">
      <c r="A19" s="27" t="s">
        <v>13</v>
      </c>
      <c r="B19" s="27"/>
      <c r="C19" s="27"/>
      <c r="D19" s="27"/>
      <c r="E19" s="27"/>
      <c r="F19" s="32">
        <f>F17-F18</f>
        <v>7605.9299999999876</v>
      </c>
      <c r="G19" s="32"/>
      <c r="H19" s="32"/>
      <c r="I19" s="32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66" ht="46.5" x14ac:dyDescent="0.7">
      <c r="A20" s="27" t="s">
        <v>23</v>
      </c>
      <c r="B20" s="27"/>
      <c r="C20" s="27"/>
      <c r="D20" s="27"/>
      <c r="E20" s="27"/>
      <c r="F20" s="32">
        <f>20000-F17</f>
        <v>2838.3699999999953</v>
      </c>
      <c r="G20" s="32"/>
      <c r="H20" s="32"/>
      <c r="I20" s="32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66" ht="46.5" x14ac:dyDescent="0.25">
      <c r="A21" s="7"/>
      <c r="B21" s="9"/>
      <c r="C21" s="9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66" ht="47.25" thickBot="1" x14ac:dyDescent="0.3">
      <c r="A22" s="20" t="s">
        <v>20</v>
      </c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7"/>
      <c r="Q22" s="7"/>
      <c r="R22" s="7"/>
      <c r="S22" s="7"/>
      <c r="T22" s="7"/>
      <c r="U22" s="7"/>
      <c r="V22" s="7"/>
      <c r="W22" s="7"/>
      <c r="X22" s="7"/>
    </row>
    <row r="23" spans="1:66" ht="46.5" x14ac:dyDescent="0.7">
      <c r="A23" s="36" t="s">
        <v>17</v>
      </c>
      <c r="B23" s="37"/>
      <c r="C23" s="38" t="s">
        <v>5</v>
      </c>
      <c r="D23" s="39"/>
      <c r="E23" s="40"/>
      <c r="F23" s="33" t="s">
        <v>15</v>
      </c>
      <c r="G23" s="34"/>
      <c r="H23" s="33" t="s">
        <v>29</v>
      </c>
      <c r="I23" s="34"/>
      <c r="J23" s="35" t="s">
        <v>16</v>
      </c>
      <c r="K23" s="34"/>
      <c r="L23" s="35" t="s">
        <v>6</v>
      </c>
      <c r="M23" s="34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41">
        <v>1</v>
      </c>
      <c r="B24" s="42"/>
      <c r="C24" s="28" t="s">
        <v>26</v>
      </c>
      <c r="D24" s="29"/>
      <c r="E24" s="30"/>
      <c r="F24" s="14">
        <v>49</v>
      </c>
      <c r="G24" s="12" t="s">
        <v>35</v>
      </c>
      <c r="H24" s="16">
        <v>104</v>
      </c>
      <c r="I24" s="12" t="s">
        <v>35</v>
      </c>
      <c r="J24" s="16">
        <f>F24+H24</f>
        <v>153</v>
      </c>
      <c r="K24" s="12" t="s">
        <v>24</v>
      </c>
      <c r="L24" s="25" t="str">
        <f>TEXT(F24/J24,"0,00%")</f>
        <v>32,03%</v>
      </c>
      <c r="M24" s="26"/>
      <c r="N24" s="7"/>
      <c r="O24" s="7"/>
      <c r="P24" s="7"/>
      <c r="Q24" s="7"/>
      <c r="R24" s="7"/>
      <c r="S24" s="7"/>
      <c r="T24" s="7"/>
      <c r="U24" s="7"/>
      <c r="V24" s="7"/>
    </row>
    <row r="25" spans="1:66" ht="46.5" x14ac:dyDescent="0.7">
      <c r="A25" s="41">
        <v>2</v>
      </c>
      <c r="B25" s="42"/>
      <c r="C25" s="28" t="s">
        <v>25</v>
      </c>
      <c r="D25" s="29"/>
      <c r="E25" s="30"/>
      <c r="F25" s="14">
        <v>47</v>
      </c>
      <c r="G25" s="12" t="s">
        <v>35</v>
      </c>
      <c r="H25" s="16">
        <v>110</v>
      </c>
      <c r="I25" s="12" t="s">
        <v>35</v>
      </c>
      <c r="J25" s="16">
        <f>F25+H25</f>
        <v>157</v>
      </c>
      <c r="K25" s="12" t="s">
        <v>24</v>
      </c>
      <c r="L25" s="25" t="str">
        <f>TEXT(F25/J25,"0,00%")</f>
        <v>29,94%</v>
      </c>
      <c r="M25" s="26"/>
      <c r="N25" s="7"/>
      <c r="O25" s="7"/>
      <c r="P25" s="7"/>
      <c r="Q25" s="7"/>
      <c r="R25" s="7"/>
      <c r="S25" s="7"/>
      <c r="T25" s="7"/>
      <c r="U25" s="7"/>
      <c r="V25" s="7"/>
    </row>
    <row r="26" spans="1:66" ht="46.5" x14ac:dyDescent="0.7">
      <c r="A26" s="41">
        <v>3</v>
      </c>
      <c r="B26" s="42"/>
      <c r="C26" s="28" t="s">
        <v>27</v>
      </c>
      <c r="D26" s="29"/>
      <c r="E26" s="30"/>
      <c r="F26" s="14">
        <v>43</v>
      </c>
      <c r="G26" s="12" t="s">
        <v>34</v>
      </c>
      <c r="H26" s="16">
        <v>110</v>
      </c>
      <c r="I26" s="12" t="s">
        <v>24</v>
      </c>
      <c r="J26" s="16">
        <f>F26+H26</f>
        <v>153</v>
      </c>
      <c r="K26" s="12" t="s">
        <v>24</v>
      </c>
      <c r="L26" s="25" t="str">
        <f>TEXT(F26/J26,"0,00%")</f>
        <v>28,10%</v>
      </c>
      <c r="M26" s="26"/>
      <c r="N26" s="7"/>
      <c r="O26" s="7"/>
      <c r="P26" s="7"/>
      <c r="Q26" s="7"/>
      <c r="R26" s="7"/>
      <c r="S26" s="7"/>
      <c r="T26" s="7"/>
      <c r="U26" s="7"/>
      <c r="V26" s="7"/>
    </row>
    <row r="27" spans="1:66" ht="47.25" thickBot="1" x14ac:dyDescent="0.75">
      <c r="A27" s="45">
        <v>4</v>
      </c>
      <c r="B27" s="46"/>
      <c r="C27" s="47" t="s">
        <v>28</v>
      </c>
      <c r="D27" s="48"/>
      <c r="E27" s="49"/>
      <c r="F27" s="15">
        <v>33</v>
      </c>
      <c r="G27" s="13" t="s">
        <v>34</v>
      </c>
      <c r="H27" s="17">
        <v>105</v>
      </c>
      <c r="I27" s="13" t="s">
        <v>24</v>
      </c>
      <c r="J27" s="17">
        <f>F27+H27</f>
        <v>138</v>
      </c>
      <c r="K27" s="13" t="s">
        <v>24</v>
      </c>
      <c r="L27" s="43" t="str">
        <f>TEXT(F27/J27,"0,00%")</f>
        <v>23,91%</v>
      </c>
      <c r="M27" s="44"/>
      <c r="N27" s="7"/>
      <c r="O27" s="7"/>
      <c r="P27" s="7"/>
      <c r="Q27" s="7"/>
      <c r="R27" s="7"/>
      <c r="S27" s="7"/>
      <c r="T27" s="7"/>
      <c r="U27" s="7"/>
      <c r="V27" s="7"/>
    </row>
    <row r="28" spans="1:66" ht="15" customHeight="1" x14ac:dyDescent="0.25">
      <c r="A28" s="7"/>
      <c r="B28" s="10"/>
      <c r="C28" s="10"/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11"/>
    </row>
    <row r="29" spans="1:66" ht="15" customHeight="1" x14ac:dyDescent="0.25">
      <c r="A29" s="10"/>
      <c r="B29" s="10"/>
      <c r="C29" s="10"/>
      <c r="D29" s="10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ht="15" customHeight="1" x14ac:dyDescent="0.25">
      <c r="A30" s="10"/>
      <c r="B30" s="10"/>
      <c r="C30" s="10"/>
      <c r="D30" s="10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s="6" customFormat="1" ht="10.5" customHeight="1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</row>
    <row r="32" spans="1:66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D34" s="7"/>
      <c r="E34" s="7"/>
      <c r="F34" s="7"/>
      <c r="G34" s="7"/>
      <c r="H34" s="7"/>
      <c r="I34" s="7"/>
      <c r="J34" s="7"/>
      <c r="K34" s="7"/>
    </row>
    <row r="35" spans="1:24" ht="26.25" customHeight="1" x14ac:dyDescent="0.25">
      <c r="A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26.25" customHeight="1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3.9" customHeight="1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5" customHeight="1" x14ac:dyDescent="0.25">
      <c r="A46" s="7"/>
      <c r="B46" s="7"/>
      <c r="C46" s="7"/>
      <c r="D46" s="7"/>
      <c r="E46" s="7"/>
      <c r="F46" s="7"/>
      <c r="G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ht="15" customHeight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  <row r="99" spans="1:21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</row>
    <row r="100" spans="1:21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</row>
    <row r="101" spans="1:21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</row>
  </sheetData>
  <mergeCells count="39">
    <mergeCell ref="L27:M27"/>
    <mergeCell ref="A24:B24"/>
    <mergeCell ref="A25:B25"/>
    <mergeCell ref="A27:B27"/>
    <mergeCell ref="C27:E27"/>
    <mergeCell ref="L26:M26"/>
    <mergeCell ref="L25:M25"/>
    <mergeCell ref="L23:M23"/>
    <mergeCell ref="A26:B26"/>
    <mergeCell ref="C25:E25"/>
    <mergeCell ref="C26:E26"/>
    <mergeCell ref="F23:G23"/>
    <mergeCell ref="A16:I16"/>
    <mergeCell ref="F19:I19"/>
    <mergeCell ref="F20:I20"/>
    <mergeCell ref="H23:I23"/>
    <mergeCell ref="J23:K23"/>
    <mergeCell ref="A23:B23"/>
    <mergeCell ref="C23:E23"/>
    <mergeCell ref="A19:E19"/>
    <mergeCell ref="A20:E20"/>
    <mergeCell ref="F17:I17"/>
    <mergeCell ref="F18:I18"/>
    <mergeCell ref="A10:I10"/>
    <mergeCell ref="F13:I13"/>
    <mergeCell ref="C1:M5"/>
    <mergeCell ref="G6:I7"/>
    <mergeCell ref="L24:M24"/>
    <mergeCell ref="A17:E17"/>
    <mergeCell ref="A18:E18"/>
    <mergeCell ref="C24:E24"/>
    <mergeCell ref="A11:E11"/>
    <mergeCell ref="A12:E12"/>
    <mergeCell ref="A13:E13"/>
    <mergeCell ref="A14:E14"/>
    <mergeCell ref="F12:I12"/>
    <mergeCell ref="F11:I11"/>
    <mergeCell ref="A22:O22"/>
    <mergeCell ref="F14:I14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R117"/>
  <sheetViews>
    <sheetView zoomScale="90" zoomScaleNormal="90" workbookViewId="0">
      <pane ySplit="1" topLeftCell="A113" activePane="bottomLeft" state="frozen"/>
      <selection pane="bottomLeft" activeCell="A117" sqref="A117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4.5703125" bestFit="1" customWidth="1"/>
    <col min="6" max="6" width="10.7109375" bestFit="1" customWidth="1"/>
    <col min="7" max="7" width="10.28515625" bestFit="1" customWidth="1"/>
    <col min="8" max="9" width="10.7109375" bestFit="1" customWidth="1"/>
    <col min="10" max="10" width="19" bestFit="1" customWidth="1"/>
    <col min="11" max="11" width="16.42578125" bestFit="1" customWidth="1"/>
    <col min="12" max="12" width="20.28515625" bestFit="1" customWidth="1"/>
    <col min="14" max="14" width="9.28515625" bestFit="1" customWidth="1"/>
    <col min="15" max="15" width="13.140625" bestFit="1" customWidth="1"/>
    <col min="16" max="16" width="11.28515625" bestFit="1" customWidth="1"/>
    <col min="18" max="18" width="10.7109375" bestFit="1" customWidth="1"/>
  </cols>
  <sheetData>
    <row r="1" spans="1:18" ht="16.149999999999999" customHeight="1" x14ac:dyDescent="0.25">
      <c r="A1" s="1" t="s">
        <v>1</v>
      </c>
      <c r="B1" s="1" t="s">
        <v>0</v>
      </c>
      <c r="C1" s="1" t="s">
        <v>2</v>
      </c>
      <c r="D1" s="1" t="s">
        <v>3</v>
      </c>
      <c r="E1" s="1" t="s">
        <v>30</v>
      </c>
      <c r="F1" s="1" t="s">
        <v>26</v>
      </c>
      <c r="G1" s="1" t="s">
        <v>25</v>
      </c>
      <c r="H1" s="1" t="s">
        <v>28</v>
      </c>
      <c r="I1" s="1" t="s">
        <v>27</v>
      </c>
      <c r="J1" s="1" t="s">
        <v>31</v>
      </c>
      <c r="K1" s="1" t="s">
        <v>32</v>
      </c>
      <c r="L1" s="1" t="s">
        <v>4</v>
      </c>
      <c r="N1" t="s">
        <v>8</v>
      </c>
      <c r="O1" t="s">
        <v>9</v>
      </c>
      <c r="P1" t="s">
        <v>10</v>
      </c>
      <c r="R1" s="1"/>
    </row>
    <row r="2" spans="1:18" ht="15.75" x14ac:dyDescent="0.25">
      <c r="A2" s="2">
        <v>1</v>
      </c>
      <c r="B2" s="3">
        <v>44985</v>
      </c>
      <c r="C2" s="4">
        <v>35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f t="shared" ref="J2:J33" si="0">D2-C2-E2-G2-F2-H2-I2</f>
        <v>-35</v>
      </c>
      <c r="K2" s="4">
        <f>D2-C2</f>
        <v>-35</v>
      </c>
      <c r="L2" s="4">
        <v>-35</v>
      </c>
      <c r="N2" s="5">
        <f>COUNTA(A:A)-1</f>
        <v>116</v>
      </c>
      <c r="O2" s="5">
        <f>COUNTIF(D:D,"&gt;0")</f>
        <v>21</v>
      </c>
      <c r="P2" s="5">
        <f>COUNTIF(D:D,"0")</f>
        <v>95</v>
      </c>
    </row>
    <row r="3" spans="1:18" ht="15.75" x14ac:dyDescent="0.25">
      <c r="A3" s="2">
        <v>2</v>
      </c>
      <c r="B3" s="3">
        <v>44992</v>
      </c>
      <c r="C3" s="4">
        <v>35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f t="shared" si="0"/>
        <v>-35</v>
      </c>
      <c r="K3" s="4">
        <f t="shared" ref="K3:K66" si="1">D3-C3</f>
        <v>-35</v>
      </c>
      <c r="L3" s="4">
        <f>K2+K3</f>
        <v>-70</v>
      </c>
    </row>
    <row r="4" spans="1:18" ht="15.75" x14ac:dyDescent="0.25">
      <c r="A4" s="2">
        <v>3</v>
      </c>
      <c r="B4" s="3">
        <v>44999</v>
      </c>
      <c r="C4" s="4">
        <v>35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f t="shared" si="0"/>
        <v>-35</v>
      </c>
      <c r="K4" s="4">
        <f t="shared" si="1"/>
        <v>-35</v>
      </c>
      <c r="L4" s="4">
        <f>L3+K4</f>
        <v>-105</v>
      </c>
    </row>
    <row r="5" spans="1:18" ht="15.75" x14ac:dyDescent="0.25">
      <c r="A5" s="2">
        <f>A4+1</f>
        <v>4</v>
      </c>
      <c r="B5" s="3">
        <v>45013</v>
      </c>
      <c r="C5" s="4">
        <v>35</v>
      </c>
      <c r="D5" s="4">
        <v>62.91</v>
      </c>
      <c r="E5" s="4">
        <v>0</v>
      </c>
      <c r="F5" s="4">
        <v>9.44</v>
      </c>
      <c r="G5" s="4">
        <v>0</v>
      </c>
      <c r="H5" s="4">
        <v>0</v>
      </c>
      <c r="I5" s="4">
        <v>0</v>
      </c>
      <c r="J5" s="4">
        <f t="shared" si="0"/>
        <v>18.47</v>
      </c>
      <c r="K5" s="4">
        <f>D5-C5</f>
        <v>27.909999999999997</v>
      </c>
      <c r="L5" s="4">
        <f>L4+K5</f>
        <v>-77.09</v>
      </c>
    </row>
    <row r="6" spans="1:18" ht="15.75" x14ac:dyDescent="0.25">
      <c r="A6" s="2">
        <f t="shared" ref="A6:A69" si="2">A5+1</f>
        <v>5</v>
      </c>
      <c r="B6" s="3">
        <v>45021</v>
      </c>
      <c r="C6" s="4">
        <v>35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f t="shared" si="0"/>
        <v>-35</v>
      </c>
      <c r="K6" s="4">
        <f t="shared" si="1"/>
        <v>-35</v>
      </c>
      <c r="L6" s="4">
        <f>L5+K6</f>
        <v>-112.09</v>
      </c>
    </row>
    <row r="7" spans="1:18" ht="15.75" x14ac:dyDescent="0.25">
      <c r="A7" s="2">
        <f t="shared" si="2"/>
        <v>6</v>
      </c>
      <c r="B7" s="3">
        <v>45027</v>
      </c>
      <c r="C7" s="4">
        <v>35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f t="shared" si="0"/>
        <v>-35</v>
      </c>
      <c r="K7" s="4">
        <f t="shared" si="1"/>
        <v>-35</v>
      </c>
      <c r="L7" s="4">
        <f>L6+K7</f>
        <v>-147.09</v>
      </c>
    </row>
    <row r="8" spans="1:18" ht="15.75" x14ac:dyDescent="0.25">
      <c r="A8" s="2">
        <f t="shared" si="2"/>
        <v>7</v>
      </c>
      <c r="B8" s="3">
        <v>45034</v>
      </c>
      <c r="C8" s="4">
        <v>35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f t="shared" si="0"/>
        <v>-35</v>
      </c>
      <c r="K8" s="4">
        <f t="shared" si="1"/>
        <v>-35</v>
      </c>
      <c r="L8" s="4">
        <f t="shared" ref="L8:L12" si="3">L7+K8</f>
        <v>-182.09</v>
      </c>
    </row>
    <row r="9" spans="1:18" ht="15.75" x14ac:dyDescent="0.25">
      <c r="A9" s="2">
        <f t="shared" si="2"/>
        <v>8</v>
      </c>
      <c r="B9" s="3">
        <v>45041</v>
      </c>
      <c r="C9" s="4">
        <v>35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f t="shared" si="0"/>
        <v>-35</v>
      </c>
      <c r="K9" s="4">
        <f t="shared" si="1"/>
        <v>-35</v>
      </c>
      <c r="L9" s="4">
        <f t="shared" si="3"/>
        <v>-217.09</v>
      </c>
    </row>
    <row r="10" spans="1:18" ht="15.75" x14ac:dyDescent="0.25">
      <c r="A10" s="2">
        <f t="shared" si="2"/>
        <v>9</v>
      </c>
      <c r="B10" s="3">
        <v>45048</v>
      </c>
      <c r="C10" s="4">
        <v>35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f t="shared" si="0"/>
        <v>-35</v>
      </c>
      <c r="K10" s="4">
        <f t="shared" si="1"/>
        <v>-35</v>
      </c>
      <c r="L10" s="4">
        <f t="shared" si="3"/>
        <v>-252.09</v>
      </c>
    </row>
    <row r="11" spans="1:18" ht="15.75" x14ac:dyDescent="0.25">
      <c r="A11" s="2">
        <f t="shared" si="2"/>
        <v>10</v>
      </c>
      <c r="B11" s="3">
        <v>45055</v>
      </c>
      <c r="C11" s="4">
        <v>35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f t="shared" si="0"/>
        <v>-35</v>
      </c>
      <c r="K11" s="4">
        <f t="shared" si="1"/>
        <v>-35</v>
      </c>
      <c r="L11" s="4">
        <f t="shared" si="3"/>
        <v>-287.09000000000003</v>
      </c>
    </row>
    <row r="12" spans="1:18" ht="15.75" x14ac:dyDescent="0.25">
      <c r="A12" s="2">
        <f t="shared" si="2"/>
        <v>11</v>
      </c>
      <c r="B12" s="3">
        <v>45062</v>
      </c>
      <c r="C12" s="4">
        <v>35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f t="shared" si="0"/>
        <v>-35</v>
      </c>
      <c r="K12" s="4">
        <f t="shared" si="1"/>
        <v>-35</v>
      </c>
      <c r="L12" s="4">
        <f t="shared" si="3"/>
        <v>-322.09000000000003</v>
      </c>
    </row>
    <row r="13" spans="1:18" ht="15.75" x14ac:dyDescent="0.25">
      <c r="A13" s="2">
        <f t="shared" si="2"/>
        <v>12</v>
      </c>
      <c r="B13" s="3">
        <v>45069</v>
      </c>
      <c r="C13" s="4">
        <v>35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f t="shared" si="0"/>
        <v>-35</v>
      </c>
      <c r="K13" s="4">
        <f t="shared" si="1"/>
        <v>-35</v>
      </c>
      <c r="L13" s="4">
        <f>L12+K13</f>
        <v>-357.09000000000003</v>
      </c>
    </row>
    <row r="14" spans="1:18" ht="15.75" x14ac:dyDescent="0.25">
      <c r="A14" s="2">
        <f t="shared" si="2"/>
        <v>13</v>
      </c>
      <c r="B14" s="3">
        <v>45076</v>
      </c>
      <c r="C14" s="4">
        <v>35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f t="shared" si="0"/>
        <v>-35</v>
      </c>
      <c r="K14" s="4">
        <f t="shared" si="1"/>
        <v>-35</v>
      </c>
      <c r="L14" s="4">
        <f>L13+K14</f>
        <v>-392.09000000000003</v>
      </c>
    </row>
    <row r="15" spans="1:18" ht="15.75" x14ac:dyDescent="0.25">
      <c r="A15" s="2">
        <f t="shared" si="2"/>
        <v>14</v>
      </c>
      <c r="B15" s="3">
        <v>45082</v>
      </c>
      <c r="C15" s="4">
        <v>35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f t="shared" si="0"/>
        <v>-35</v>
      </c>
      <c r="K15" s="4">
        <f t="shared" si="1"/>
        <v>-35</v>
      </c>
      <c r="L15" s="4">
        <f>L14+K15</f>
        <v>-427.09000000000003</v>
      </c>
    </row>
    <row r="16" spans="1:18" ht="15.75" x14ac:dyDescent="0.25">
      <c r="A16" s="2">
        <f t="shared" si="2"/>
        <v>15</v>
      </c>
      <c r="B16" s="3">
        <v>45090</v>
      </c>
      <c r="C16" s="4">
        <v>35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f t="shared" si="0"/>
        <v>-35</v>
      </c>
      <c r="K16" s="4">
        <f t="shared" si="1"/>
        <v>-35</v>
      </c>
      <c r="L16" s="4">
        <f t="shared" ref="L16" si="4">L15+K16</f>
        <v>-462.09000000000003</v>
      </c>
    </row>
    <row r="17" spans="1:12" ht="15.75" x14ac:dyDescent="0.25">
      <c r="A17" s="2">
        <f t="shared" si="2"/>
        <v>16</v>
      </c>
      <c r="B17" s="3">
        <v>45097</v>
      </c>
      <c r="C17" s="4">
        <v>35</v>
      </c>
      <c r="D17" s="4">
        <v>1285.73</v>
      </c>
      <c r="E17" s="4">
        <v>0</v>
      </c>
      <c r="F17" s="4">
        <v>128.57</v>
      </c>
      <c r="G17" s="4">
        <v>128.57</v>
      </c>
      <c r="H17" s="4">
        <v>128.57</v>
      </c>
      <c r="I17" s="4">
        <v>0</v>
      </c>
      <c r="J17" s="4">
        <f t="shared" si="0"/>
        <v>865.02000000000021</v>
      </c>
      <c r="K17" s="4">
        <f t="shared" si="1"/>
        <v>1250.73</v>
      </c>
      <c r="L17" s="4">
        <f>L16+K17</f>
        <v>788.64</v>
      </c>
    </row>
    <row r="18" spans="1:12" ht="15.75" x14ac:dyDescent="0.25">
      <c r="A18" s="2">
        <f t="shared" si="2"/>
        <v>17</v>
      </c>
      <c r="B18" s="3">
        <v>45104</v>
      </c>
      <c r="C18" s="4">
        <v>42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f t="shared" si="0"/>
        <v>-42</v>
      </c>
      <c r="K18" s="4">
        <f t="shared" si="1"/>
        <v>-42</v>
      </c>
      <c r="L18" s="4">
        <f>L17+K18</f>
        <v>746.64</v>
      </c>
    </row>
    <row r="19" spans="1:12" ht="15.75" x14ac:dyDescent="0.25">
      <c r="A19" s="2">
        <f t="shared" si="2"/>
        <v>18</v>
      </c>
      <c r="B19" s="3">
        <v>45111</v>
      </c>
      <c r="C19" s="4">
        <v>70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f t="shared" si="0"/>
        <v>-70</v>
      </c>
      <c r="K19" s="4">
        <f t="shared" si="1"/>
        <v>-70</v>
      </c>
      <c r="L19" s="4">
        <f>L18+K19</f>
        <v>676.64</v>
      </c>
    </row>
    <row r="20" spans="1:12" ht="15.75" x14ac:dyDescent="0.25">
      <c r="A20" s="2">
        <f t="shared" si="2"/>
        <v>19</v>
      </c>
      <c r="B20" s="3">
        <v>45118</v>
      </c>
      <c r="C20" s="4">
        <v>56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f t="shared" si="0"/>
        <v>-56</v>
      </c>
      <c r="K20" s="4">
        <f t="shared" si="1"/>
        <v>-56</v>
      </c>
      <c r="L20" s="4">
        <f t="shared" ref="L20:L72" si="5">L19+K20</f>
        <v>620.64</v>
      </c>
    </row>
    <row r="21" spans="1:12" ht="15.75" x14ac:dyDescent="0.25">
      <c r="A21" s="2">
        <f t="shared" si="2"/>
        <v>20</v>
      </c>
      <c r="B21" s="3">
        <v>45125</v>
      </c>
      <c r="C21" s="4">
        <v>56</v>
      </c>
      <c r="D21" s="4">
        <v>336.87</v>
      </c>
      <c r="E21" s="4">
        <v>33.69</v>
      </c>
      <c r="F21" s="4">
        <v>67.37</v>
      </c>
      <c r="G21" s="4">
        <v>0</v>
      </c>
      <c r="H21" s="4">
        <v>33.69</v>
      </c>
      <c r="I21" s="4">
        <v>0</v>
      </c>
      <c r="J21" s="4">
        <f t="shared" si="0"/>
        <v>146.12</v>
      </c>
      <c r="K21" s="4">
        <f t="shared" si="1"/>
        <v>280.87</v>
      </c>
      <c r="L21" s="4">
        <f t="shared" si="5"/>
        <v>901.51</v>
      </c>
    </row>
    <row r="22" spans="1:12" ht="15.75" x14ac:dyDescent="0.25">
      <c r="A22" s="2">
        <f t="shared" si="2"/>
        <v>21</v>
      </c>
      <c r="B22" s="3">
        <v>45131</v>
      </c>
      <c r="C22" s="4">
        <v>56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f t="shared" si="0"/>
        <v>-56</v>
      </c>
      <c r="K22" s="4">
        <f t="shared" si="1"/>
        <v>-56</v>
      </c>
      <c r="L22" s="4">
        <f t="shared" si="5"/>
        <v>845.51</v>
      </c>
    </row>
    <row r="23" spans="1:12" ht="15.75" x14ac:dyDescent="0.25">
      <c r="A23" s="2">
        <f t="shared" si="2"/>
        <v>22</v>
      </c>
      <c r="B23" s="3">
        <v>45142</v>
      </c>
      <c r="C23" s="4">
        <v>56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f t="shared" si="0"/>
        <v>-56</v>
      </c>
      <c r="K23" s="4">
        <f t="shared" si="1"/>
        <v>-56</v>
      </c>
      <c r="L23" s="4">
        <f t="shared" si="5"/>
        <v>789.51</v>
      </c>
    </row>
    <row r="24" spans="1:12" ht="15.75" x14ac:dyDescent="0.25">
      <c r="A24" s="2">
        <f t="shared" si="2"/>
        <v>23</v>
      </c>
      <c r="B24" s="3">
        <v>45148</v>
      </c>
      <c r="C24" s="4">
        <v>56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f t="shared" si="0"/>
        <v>-56</v>
      </c>
      <c r="K24" s="4">
        <f t="shared" si="1"/>
        <v>-56</v>
      </c>
      <c r="L24" s="4">
        <f t="shared" si="5"/>
        <v>733.51</v>
      </c>
    </row>
    <row r="25" spans="1:12" ht="15.75" x14ac:dyDescent="0.25">
      <c r="A25" s="2">
        <f t="shared" si="2"/>
        <v>24</v>
      </c>
      <c r="B25" s="3">
        <v>45153</v>
      </c>
      <c r="C25" s="4">
        <v>56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f t="shared" si="0"/>
        <v>-56</v>
      </c>
      <c r="K25" s="4">
        <f t="shared" si="1"/>
        <v>-56</v>
      </c>
      <c r="L25" s="4">
        <f t="shared" si="5"/>
        <v>677.51</v>
      </c>
    </row>
    <row r="26" spans="1:12" ht="15.75" x14ac:dyDescent="0.25">
      <c r="A26" s="2">
        <f t="shared" si="2"/>
        <v>25</v>
      </c>
      <c r="B26" s="3">
        <v>45160</v>
      </c>
      <c r="C26" s="4">
        <v>56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f t="shared" si="0"/>
        <v>-56</v>
      </c>
      <c r="K26" s="4">
        <f t="shared" si="1"/>
        <v>-56</v>
      </c>
      <c r="L26" s="4">
        <f t="shared" si="5"/>
        <v>621.51</v>
      </c>
    </row>
    <row r="27" spans="1:12" ht="15.75" x14ac:dyDescent="0.25">
      <c r="A27" s="2">
        <f t="shared" si="2"/>
        <v>26</v>
      </c>
      <c r="B27" s="3">
        <v>45167</v>
      </c>
      <c r="C27" s="4">
        <v>56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f t="shared" si="0"/>
        <v>-56</v>
      </c>
      <c r="K27" s="4">
        <f t="shared" si="1"/>
        <v>-56</v>
      </c>
      <c r="L27" s="4">
        <f t="shared" si="5"/>
        <v>565.51</v>
      </c>
    </row>
    <row r="28" spans="1:12" ht="15.75" x14ac:dyDescent="0.25">
      <c r="A28" s="2">
        <f t="shared" si="2"/>
        <v>27</v>
      </c>
      <c r="B28" s="3">
        <v>45174</v>
      </c>
      <c r="C28" s="4">
        <v>56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f t="shared" si="0"/>
        <v>-56</v>
      </c>
      <c r="K28" s="4">
        <f t="shared" si="1"/>
        <v>-56</v>
      </c>
      <c r="L28" s="4">
        <f t="shared" si="5"/>
        <v>509.51</v>
      </c>
    </row>
    <row r="29" spans="1:12" ht="15.75" x14ac:dyDescent="0.25">
      <c r="A29" s="2">
        <f t="shared" si="2"/>
        <v>28</v>
      </c>
      <c r="B29" s="3">
        <v>45181</v>
      </c>
      <c r="C29" s="4">
        <v>56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f t="shared" si="0"/>
        <v>-56</v>
      </c>
      <c r="K29" s="4">
        <f t="shared" si="1"/>
        <v>-56</v>
      </c>
      <c r="L29" s="4">
        <f t="shared" si="5"/>
        <v>453.51</v>
      </c>
    </row>
    <row r="30" spans="1:12" ht="15.75" x14ac:dyDescent="0.25">
      <c r="A30" s="2">
        <f t="shared" si="2"/>
        <v>29</v>
      </c>
      <c r="B30" s="3">
        <v>45188</v>
      </c>
      <c r="C30" s="4">
        <v>56</v>
      </c>
      <c r="D30" s="4">
        <v>114.71</v>
      </c>
      <c r="E30" s="4">
        <v>11.47</v>
      </c>
      <c r="F30" s="4">
        <v>11.47</v>
      </c>
      <c r="G30" s="4">
        <v>11.47</v>
      </c>
      <c r="H30" s="4">
        <v>11.47</v>
      </c>
      <c r="I30" s="4">
        <v>0</v>
      </c>
      <c r="J30" s="4">
        <f t="shared" si="0"/>
        <v>12.829999999999997</v>
      </c>
      <c r="K30" s="4">
        <f t="shared" si="1"/>
        <v>58.709999999999994</v>
      </c>
      <c r="L30" s="4">
        <f t="shared" si="5"/>
        <v>512.22</v>
      </c>
    </row>
    <row r="31" spans="1:12" ht="15.75" x14ac:dyDescent="0.25">
      <c r="A31" s="2">
        <f t="shared" si="2"/>
        <v>30</v>
      </c>
      <c r="B31" s="3">
        <v>45195</v>
      </c>
      <c r="C31" s="4">
        <v>56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f t="shared" si="0"/>
        <v>-56</v>
      </c>
      <c r="K31" s="4">
        <f t="shared" si="1"/>
        <v>-56</v>
      </c>
      <c r="L31" s="4">
        <f t="shared" si="5"/>
        <v>456.22</v>
      </c>
    </row>
    <row r="32" spans="1:12" ht="15.75" x14ac:dyDescent="0.25">
      <c r="A32" s="2">
        <f t="shared" si="2"/>
        <v>31</v>
      </c>
      <c r="B32" s="3">
        <v>45202</v>
      </c>
      <c r="C32" s="4">
        <v>56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f t="shared" si="0"/>
        <v>-56</v>
      </c>
      <c r="K32" s="4">
        <f t="shared" si="1"/>
        <v>-56</v>
      </c>
      <c r="L32" s="4">
        <f t="shared" si="5"/>
        <v>400.22</v>
      </c>
    </row>
    <row r="33" spans="1:12" ht="15.75" x14ac:dyDescent="0.25">
      <c r="A33" s="2">
        <f t="shared" si="2"/>
        <v>32</v>
      </c>
      <c r="B33" s="3">
        <v>45209</v>
      </c>
      <c r="C33" s="4">
        <v>56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f t="shared" si="0"/>
        <v>-56</v>
      </c>
      <c r="K33" s="4">
        <f t="shared" si="1"/>
        <v>-56</v>
      </c>
      <c r="L33" s="4">
        <f t="shared" si="5"/>
        <v>344.22</v>
      </c>
    </row>
    <row r="34" spans="1:12" ht="15.75" x14ac:dyDescent="0.25">
      <c r="A34" s="2">
        <f t="shared" si="2"/>
        <v>33</v>
      </c>
      <c r="B34" s="3">
        <v>45216</v>
      </c>
      <c r="C34" s="4">
        <v>56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f t="shared" ref="J34:J65" si="6">D34-C34-E34-G34-F34-H34-I34</f>
        <v>-56</v>
      </c>
      <c r="K34" s="4">
        <f t="shared" si="1"/>
        <v>-56</v>
      </c>
      <c r="L34" s="4">
        <f t="shared" si="5"/>
        <v>288.22000000000003</v>
      </c>
    </row>
    <row r="35" spans="1:12" ht="15.75" x14ac:dyDescent="0.25">
      <c r="A35" s="2">
        <f t="shared" si="2"/>
        <v>34</v>
      </c>
      <c r="B35" s="3">
        <v>45223</v>
      </c>
      <c r="C35" s="4">
        <v>56</v>
      </c>
      <c r="D35" s="4">
        <v>60.31</v>
      </c>
      <c r="E35" s="4">
        <v>0</v>
      </c>
      <c r="F35" s="4">
        <v>6</v>
      </c>
      <c r="G35" s="4">
        <v>3.02</v>
      </c>
      <c r="H35" s="4">
        <v>3.02</v>
      </c>
      <c r="I35" s="4">
        <v>0</v>
      </c>
      <c r="J35" s="4">
        <f t="shared" si="6"/>
        <v>-7.7299999999999969</v>
      </c>
      <c r="K35" s="4">
        <f t="shared" si="1"/>
        <v>4.3100000000000023</v>
      </c>
      <c r="L35" s="4">
        <f t="shared" si="5"/>
        <v>292.53000000000003</v>
      </c>
    </row>
    <row r="36" spans="1:12" ht="15.75" x14ac:dyDescent="0.25">
      <c r="A36" s="2">
        <f t="shared" si="2"/>
        <v>35</v>
      </c>
      <c r="B36" s="3">
        <v>45230</v>
      </c>
      <c r="C36" s="4">
        <v>56</v>
      </c>
      <c r="D36" s="4">
        <v>76.44</v>
      </c>
      <c r="E36" s="4">
        <v>0</v>
      </c>
      <c r="F36" s="4">
        <v>7.64</v>
      </c>
      <c r="G36" s="4">
        <v>7.64</v>
      </c>
      <c r="H36" s="4">
        <v>0</v>
      </c>
      <c r="I36" s="4">
        <v>0</v>
      </c>
      <c r="J36" s="4">
        <f t="shared" si="6"/>
        <v>5.1599999999999975</v>
      </c>
      <c r="K36" s="4">
        <f t="shared" si="1"/>
        <v>20.439999999999998</v>
      </c>
      <c r="L36" s="4">
        <f t="shared" si="5"/>
        <v>312.97000000000003</v>
      </c>
    </row>
    <row r="37" spans="1:12" ht="15.75" x14ac:dyDescent="0.25">
      <c r="A37" s="2">
        <f t="shared" si="2"/>
        <v>36</v>
      </c>
      <c r="B37" s="3">
        <v>45237</v>
      </c>
      <c r="C37" s="4">
        <v>56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f t="shared" si="6"/>
        <v>-56</v>
      </c>
      <c r="K37" s="4">
        <f t="shared" si="1"/>
        <v>-56</v>
      </c>
      <c r="L37" s="4">
        <f t="shared" si="5"/>
        <v>256.97000000000003</v>
      </c>
    </row>
    <row r="38" spans="1:12" ht="15.75" x14ac:dyDescent="0.25">
      <c r="A38" s="2">
        <f t="shared" si="2"/>
        <v>37</v>
      </c>
      <c r="B38" s="3">
        <v>45240</v>
      </c>
      <c r="C38" s="4">
        <v>56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f t="shared" si="6"/>
        <v>-56</v>
      </c>
      <c r="K38" s="4">
        <f t="shared" si="1"/>
        <v>-56</v>
      </c>
      <c r="L38" s="4">
        <f t="shared" si="5"/>
        <v>200.97000000000003</v>
      </c>
    </row>
    <row r="39" spans="1:12" ht="15.75" x14ac:dyDescent="0.25">
      <c r="A39" s="2">
        <f t="shared" si="2"/>
        <v>38</v>
      </c>
      <c r="B39" s="3">
        <v>45247</v>
      </c>
      <c r="C39" s="4">
        <v>56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f t="shared" si="6"/>
        <v>-56</v>
      </c>
      <c r="K39" s="4">
        <f t="shared" si="1"/>
        <v>-56</v>
      </c>
      <c r="L39" s="4">
        <f t="shared" si="5"/>
        <v>144.97000000000003</v>
      </c>
    </row>
    <row r="40" spans="1:12" ht="15.75" x14ac:dyDescent="0.25">
      <c r="A40" s="2">
        <f t="shared" si="2"/>
        <v>39</v>
      </c>
      <c r="B40" s="3">
        <v>45254</v>
      </c>
      <c r="C40" s="4">
        <v>56</v>
      </c>
      <c r="D40" s="4">
        <v>1879.99</v>
      </c>
      <c r="E40" s="4">
        <v>0</v>
      </c>
      <c r="F40" s="4">
        <v>282</v>
      </c>
      <c r="G40" s="4">
        <v>188</v>
      </c>
      <c r="H40" s="4">
        <v>94</v>
      </c>
      <c r="I40" s="4">
        <v>0</v>
      </c>
      <c r="J40" s="4">
        <f t="shared" si="6"/>
        <v>1259.99</v>
      </c>
      <c r="K40" s="4">
        <f t="shared" si="1"/>
        <v>1823.99</v>
      </c>
      <c r="L40" s="4">
        <f t="shared" si="5"/>
        <v>1968.96</v>
      </c>
    </row>
    <row r="41" spans="1:12" ht="15.75" x14ac:dyDescent="0.25">
      <c r="A41" s="2">
        <f t="shared" si="2"/>
        <v>40</v>
      </c>
      <c r="B41" s="3">
        <v>45261</v>
      </c>
      <c r="C41" s="4">
        <v>100.1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f t="shared" si="6"/>
        <v>-100.1</v>
      </c>
      <c r="K41" s="4">
        <f t="shared" si="1"/>
        <v>-100.1</v>
      </c>
      <c r="L41" s="4">
        <f t="shared" si="5"/>
        <v>1868.8600000000001</v>
      </c>
    </row>
    <row r="42" spans="1:12" ht="15.75" x14ac:dyDescent="0.25">
      <c r="A42" s="2">
        <f t="shared" si="2"/>
        <v>41</v>
      </c>
      <c r="B42" s="3">
        <v>45268</v>
      </c>
      <c r="C42" s="4">
        <v>100.1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f t="shared" si="6"/>
        <v>-100.1</v>
      </c>
      <c r="K42" s="4">
        <f t="shared" si="1"/>
        <v>-100.1</v>
      </c>
      <c r="L42" s="4">
        <f t="shared" si="5"/>
        <v>1768.7600000000002</v>
      </c>
    </row>
    <row r="43" spans="1:12" ht="15.75" x14ac:dyDescent="0.25">
      <c r="A43" s="2">
        <f t="shared" si="2"/>
        <v>42</v>
      </c>
      <c r="B43" s="3">
        <v>45275</v>
      </c>
      <c r="C43" s="4">
        <v>100.1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f t="shared" si="6"/>
        <v>-100.1</v>
      </c>
      <c r="K43" s="4">
        <f t="shared" si="1"/>
        <v>-100.1</v>
      </c>
      <c r="L43" s="4">
        <f t="shared" si="5"/>
        <v>1668.6600000000003</v>
      </c>
    </row>
    <row r="44" spans="1:12" ht="15.75" x14ac:dyDescent="0.25">
      <c r="A44" s="2">
        <f t="shared" si="2"/>
        <v>43</v>
      </c>
      <c r="B44" s="3">
        <v>45282</v>
      </c>
      <c r="C44" s="4">
        <v>100.1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f t="shared" si="6"/>
        <v>-100.1</v>
      </c>
      <c r="K44" s="4">
        <f t="shared" si="1"/>
        <v>-100.1</v>
      </c>
      <c r="L44" s="4">
        <f t="shared" si="5"/>
        <v>1568.5600000000004</v>
      </c>
    </row>
    <row r="45" spans="1:12" ht="15.75" x14ac:dyDescent="0.25">
      <c r="A45" s="2">
        <f t="shared" si="2"/>
        <v>44</v>
      </c>
      <c r="B45" s="3">
        <v>45289</v>
      </c>
      <c r="C45" s="4">
        <v>100.1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f t="shared" si="6"/>
        <v>-100.1</v>
      </c>
      <c r="K45" s="4">
        <f t="shared" si="1"/>
        <v>-100.1</v>
      </c>
      <c r="L45" s="4">
        <f t="shared" si="5"/>
        <v>1468.4600000000005</v>
      </c>
    </row>
    <row r="46" spans="1:12" ht="15.75" x14ac:dyDescent="0.25">
      <c r="A46" s="2">
        <f t="shared" si="2"/>
        <v>45</v>
      </c>
      <c r="B46" s="3">
        <v>45296</v>
      </c>
      <c r="C46" s="4">
        <v>100.1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f t="shared" si="6"/>
        <v>-100.1</v>
      </c>
      <c r="K46" s="4">
        <f t="shared" si="1"/>
        <v>-100.1</v>
      </c>
      <c r="L46" s="4">
        <f t="shared" si="5"/>
        <v>1368.3600000000006</v>
      </c>
    </row>
    <row r="47" spans="1:12" ht="15.75" x14ac:dyDescent="0.25">
      <c r="A47" s="2">
        <f t="shared" si="2"/>
        <v>46</v>
      </c>
      <c r="B47" s="3">
        <v>45303</v>
      </c>
      <c r="C47" s="4">
        <v>100.1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f t="shared" si="6"/>
        <v>-100.1</v>
      </c>
      <c r="K47" s="4">
        <f t="shared" si="1"/>
        <v>-100.1</v>
      </c>
      <c r="L47" s="4">
        <f t="shared" si="5"/>
        <v>1268.2600000000007</v>
      </c>
    </row>
    <row r="48" spans="1:12" ht="15.75" x14ac:dyDescent="0.25">
      <c r="A48" s="2">
        <f t="shared" si="2"/>
        <v>47</v>
      </c>
      <c r="B48" s="3">
        <v>45310</v>
      </c>
      <c r="C48" s="4">
        <v>100.1</v>
      </c>
      <c r="D48" s="4">
        <v>183.51</v>
      </c>
      <c r="E48" s="4">
        <v>27.53</v>
      </c>
      <c r="F48" s="4">
        <v>18.350000000000001</v>
      </c>
      <c r="G48" s="4">
        <v>0</v>
      </c>
      <c r="H48" s="4">
        <v>0</v>
      </c>
      <c r="I48" s="4">
        <v>0</v>
      </c>
      <c r="J48" s="4">
        <f t="shared" si="6"/>
        <v>37.529999999999994</v>
      </c>
      <c r="K48" s="4">
        <f t="shared" si="1"/>
        <v>83.41</v>
      </c>
      <c r="L48" s="4">
        <f t="shared" si="5"/>
        <v>1351.6700000000008</v>
      </c>
    </row>
    <row r="49" spans="1:12" ht="15.75" x14ac:dyDescent="0.25">
      <c r="A49" s="2">
        <f t="shared" si="2"/>
        <v>48</v>
      </c>
      <c r="B49" s="3">
        <v>45317</v>
      </c>
      <c r="C49" s="4">
        <v>100.1</v>
      </c>
      <c r="D49" s="4">
        <v>133.78</v>
      </c>
      <c r="E49" s="4">
        <v>20.07</v>
      </c>
      <c r="F49" s="4">
        <v>13.38</v>
      </c>
      <c r="G49" s="4">
        <v>6.69</v>
      </c>
      <c r="H49" s="4">
        <v>0</v>
      </c>
      <c r="I49" s="4">
        <v>0</v>
      </c>
      <c r="J49" s="4">
        <f t="shared" si="6"/>
        <v>-6.4599999999999946</v>
      </c>
      <c r="K49" s="4">
        <f t="shared" si="1"/>
        <v>33.680000000000007</v>
      </c>
      <c r="L49" s="4">
        <f t="shared" si="5"/>
        <v>1385.3500000000008</v>
      </c>
    </row>
    <row r="50" spans="1:12" ht="15.75" x14ac:dyDescent="0.25">
      <c r="A50" s="2">
        <f t="shared" si="2"/>
        <v>49</v>
      </c>
      <c r="B50" s="3">
        <v>45324</v>
      </c>
      <c r="C50" s="4">
        <v>100.1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f t="shared" si="6"/>
        <v>-100.1</v>
      </c>
      <c r="K50" s="4">
        <f t="shared" si="1"/>
        <v>-100.1</v>
      </c>
      <c r="L50" s="4">
        <f t="shared" si="5"/>
        <v>1285.2500000000009</v>
      </c>
    </row>
    <row r="51" spans="1:12" ht="15.75" x14ac:dyDescent="0.25">
      <c r="A51" s="2">
        <f t="shared" si="2"/>
        <v>50</v>
      </c>
      <c r="B51" s="3">
        <v>45331</v>
      </c>
      <c r="C51" s="4">
        <v>100.1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f t="shared" si="6"/>
        <v>-100.1</v>
      </c>
      <c r="K51" s="4">
        <f t="shared" si="1"/>
        <v>-100.1</v>
      </c>
      <c r="L51" s="4">
        <f t="shared" si="5"/>
        <v>1185.150000000001</v>
      </c>
    </row>
    <row r="52" spans="1:12" ht="15.75" x14ac:dyDescent="0.25">
      <c r="A52" s="2">
        <f t="shared" si="2"/>
        <v>51</v>
      </c>
      <c r="B52" s="3">
        <v>45338</v>
      </c>
      <c r="C52" s="4">
        <v>100.1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f t="shared" si="6"/>
        <v>-100.1</v>
      </c>
      <c r="K52" s="4">
        <f t="shared" si="1"/>
        <v>-100.1</v>
      </c>
      <c r="L52" s="4">
        <f t="shared" si="5"/>
        <v>1085.0500000000011</v>
      </c>
    </row>
    <row r="53" spans="1:12" ht="15.75" x14ac:dyDescent="0.25">
      <c r="A53" s="2">
        <f t="shared" si="2"/>
        <v>52</v>
      </c>
      <c r="B53" s="3">
        <v>45345</v>
      </c>
      <c r="C53" s="4">
        <v>100.1</v>
      </c>
      <c r="D53" s="4">
        <v>939.96</v>
      </c>
      <c r="E53" s="4">
        <v>94</v>
      </c>
      <c r="F53" s="4">
        <v>94</v>
      </c>
      <c r="G53" s="4">
        <v>140.99</v>
      </c>
      <c r="H53" s="4">
        <v>47</v>
      </c>
      <c r="I53" s="4">
        <v>0</v>
      </c>
      <c r="J53" s="4">
        <f t="shared" si="6"/>
        <v>463.87</v>
      </c>
      <c r="K53" s="4">
        <f t="shared" si="1"/>
        <v>839.86</v>
      </c>
      <c r="L53" s="4">
        <f t="shared" si="5"/>
        <v>1924.9100000000012</v>
      </c>
    </row>
    <row r="54" spans="1:12" ht="15.75" x14ac:dyDescent="0.25">
      <c r="A54" s="2">
        <f t="shared" si="2"/>
        <v>53</v>
      </c>
      <c r="B54" s="3">
        <v>45352</v>
      </c>
      <c r="C54" s="4">
        <v>100.1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4">
        <f t="shared" si="6"/>
        <v>-100.1</v>
      </c>
      <c r="K54" s="4">
        <f t="shared" si="1"/>
        <v>-100.1</v>
      </c>
      <c r="L54" s="4">
        <f t="shared" si="5"/>
        <v>1824.8100000000013</v>
      </c>
    </row>
    <row r="55" spans="1:12" ht="15.75" x14ac:dyDescent="0.25">
      <c r="A55" s="2">
        <f t="shared" si="2"/>
        <v>54</v>
      </c>
      <c r="B55" s="3">
        <v>45359</v>
      </c>
      <c r="C55" s="4">
        <v>100.1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4">
        <f t="shared" si="6"/>
        <v>-100.1</v>
      </c>
      <c r="K55" s="4">
        <f t="shared" si="1"/>
        <v>-100.1</v>
      </c>
      <c r="L55" s="4">
        <f t="shared" si="5"/>
        <v>1724.7100000000014</v>
      </c>
    </row>
    <row r="56" spans="1:12" ht="15.75" x14ac:dyDescent="0.25">
      <c r="A56" s="2">
        <f t="shared" si="2"/>
        <v>55</v>
      </c>
      <c r="B56" s="3">
        <v>45366</v>
      </c>
      <c r="C56" s="4">
        <v>100.1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f t="shared" si="6"/>
        <v>-100.1</v>
      </c>
      <c r="K56" s="4">
        <f t="shared" si="1"/>
        <v>-100.1</v>
      </c>
      <c r="L56" s="4">
        <f t="shared" si="5"/>
        <v>1624.6100000000015</v>
      </c>
    </row>
    <row r="57" spans="1:12" ht="15.75" x14ac:dyDescent="0.25">
      <c r="A57" s="2">
        <f t="shared" si="2"/>
        <v>56</v>
      </c>
      <c r="B57" s="3">
        <v>45373</v>
      </c>
      <c r="C57" s="4">
        <v>100.1</v>
      </c>
      <c r="D57" s="4">
        <v>2458.64</v>
      </c>
      <c r="E57" s="4">
        <v>245.86</v>
      </c>
      <c r="F57" s="4">
        <v>491.73</v>
      </c>
      <c r="G57" s="4">
        <v>122.93</v>
      </c>
      <c r="H57" s="4">
        <v>0</v>
      </c>
      <c r="I57" s="4">
        <v>0</v>
      </c>
      <c r="J57" s="4">
        <f t="shared" si="6"/>
        <v>1498.0199999999998</v>
      </c>
      <c r="K57" s="4">
        <f t="shared" si="1"/>
        <v>2358.54</v>
      </c>
      <c r="L57" s="4">
        <f t="shared" si="5"/>
        <v>3983.1500000000015</v>
      </c>
    </row>
    <row r="58" spans="1:12" ht="15.75" x14ac:dyDescent="0.25">
      <c r="A58" s="2">
        <f t="shared" si="2"/>
        <v>57</v>
      </c>
      <c r="B58" s="3">
        <v>45380</v>
      </c>
      <c r="C58" s="4">
        <v>100.1</v>
      </c>
      <c r="D58" s="4">
        <v>150.46</v>
      </c>
      <c r="E58" s="4">
        <v>15.05</v>
      </c>
      <c r="F58" s="4">
        <v>15.05</v>
      </c>
      <c r="G58" s="4">
        <v>15.05</v>
      </c>
      <c r="H58" s="4">
        <v>7.52</v>
      </c>
      <c r="I58" s="4">
        <v>0</v>
      </c>
      <c r="J58" s="4">
        <f t="shared" si="6"/>
        <v>-2.3099999999999845</v>
      </c>
      <c r="K58" s="4">
        <f t="shared" si="1"/>
        <v>50.360000000000014</v>
      </c>
      <c r="L58" s="4">
        <f t="shared" si="5"/>
        <v>4033.5100000000016</v>
      </c>
    </row>
    <row r="59" spans="1:12" ht="15.75" x14ac:dyDescent="0.25">
      <c r="A59" s="2">
        <f t="shared" si="2"/>
        <v>58</v>
      </c>
      <c r="B59" s="3">
        <v>45387</v>
      </c>
      <c r="C59" s="4">
        <v>100.1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f t="shared" si="6"/>
        <v>-100.1</v>
      </c>
      <c r="K59" s="4">
        <f t="shared" si="1"/>
        <v>-100.1</v>
      </c>
      <c r="L59" s="4">
        <f t="shared" si="5"/>
        <v>3933.4100000000017</v>
      </c>
    </row>
    <row r="60" spans="1:12" ht="15.75" x14ac:dyDescent="0.25">
      <c r="A60" s="2">
        <f t="shared" si="2"/>
        <v>59</v>
      </c>
      <c r="B60" s="3">
        <v>45394</v>
      </c>
      <c r="C60" s="4">
        <v>100.1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f t="shared" si="6"/>
        <v>-100.1</v>
      </c>
      <c r="K60" s="4">
        <f t="shared" si="1"/>
        <v>-100.1</v>
      </c>
      <c r="L60" s="4">
        <f t="shared" si="5"/>
        <v>3833.3100000000018</v>
      </c>
    </row>
    <row r="61" spans="1:12" ht="15.75" x14ac:dyDescent="0.25">
      <c r="A61" s="2">
        <f t="shared" si="2"/>
        <v>60</v>
      </c>
      <c r="B61" s="3">
        <v>45401</v>
      </c>
      <c r="C61" s="4">
        <v>100.1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f t="shared" si="6"/>
        <v>-100.1</v>
      </c>
      <c r="K61" s="4">
        <f t="shared" si="1"/>
        <v>-100.1</v>
      </c>
      <c r="L61" s="4">
        <f t="shared" si="5"/>
        <v>3733.2100000000019</v>
      </c>
    </row>
    <row r="62" spans="1:12" ht="15.75" x14ac:dyDescent="0.25">
      <c r="A62" s="2">
        <f t="shared" si="2"/>
        <v>61</v>
      </c>
      <c r="B62" s="3">
        <v>45408</v>
      </c>
      <c r="C62" s="4">
        <v>100.1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f t="shared" si="6"/>
        <v>-100.1</v>
      </c>
      <c r="K62" s="4">
        <f t="shared" si="1"/>
        <v>-100.1</v>
      </c>
      <c r="L62" s="4">
        <f t="shared" si="5"/>
        <v>3633.1100000000019</v>
      </c>
    </row>
    <row r="63" spans="1:12" ht="15.75" x14ac:dyDescent="0.25">
      <c r="A63" s="2">
        <f t="shared" si="2"/>
        <v>62</v>
      </c>
      <c r="B63" s="3">
        <v>45415</v>
      </c>
      <c r="C63" s="4">
        <v>100.1</v>
      </c>
      <c r="D63" s="4">
        <v>905.98</v>
      </c>
      <c r="E63" s="4">
        <v>45.3</v>
      </c>
      <c r="F63" s="4">
        <v>45.3</v>
      </c>
      <c r="G63" s="4">
        <v>45.3</v>
      </c>
      <c r="H63" s="4">
        <v>45.3</v>
      </c>
      <c r="I63" s="4">
        <v>226.5</v>
      </c>
      <c r="J63" s="4">
        <f t="shared" si="6"/>
        <v>398.18000000000018</v>
      </c>
      <c r="K63" s="4">
        <f t="shared" si="1"/>
        <v>805.88</v>
      </c>
      <c r="L63" s="4">
        <f t="shared" si="5"/>
        <v>4438.9900000000016</v>
      </c>
    </row>
    <row r="64" spans="1:12" ht="15.75" x14ac:dyDescent="0.25">
      <c r="A64" s="2">
        <f t="shared" si="2"/>
        <v>63</v>
      </c>
      <c r="B64" s="3">
        <v>45422</v>
      </c>
      <c r="C64" s="4">
        <v>100.1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f t="shared" si="6"/>
        <v>-100.1</v>
      </c>
      <c r="K64" s="4">
        <f t="shared" si="1"/>
        <v>-100.1</v>
      </c>
      <c r="L64" s="4">
        <f t="shared" si="5"/>
        <v>4338.8900000000012</v>
      </c>
    </row>
    <row r="65" spans="1:12" ht="15.75" x14ac:dyDescent="0.25">
      <c r="A65" s="2">
        <f t="shared" si="2"/>
        <v>64</v>
      </c>
      <c r="B65" s="3">
        <v>45429</v>
      </c>
      <c r="C65" s="4">
        <v>100.1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f t="shared" si="6"/>
        <v>-100.1</v>
      </c>
      <c r="K65" s="4">
        <f t="shared" si="1"/>
        <v>-100.1</v>
      </c>
      <c r="L65" s="4">
        <f t="shared" si="5"/>
        <v>4238.7900000000009</v>
      </c>
    </row>
    <row r="66" spans="1:12" ht="15.75" x14ac:dyDescent="0.25">
      <c r="A66" s="2">
        <f t="shared" si="2"/>
        <v>65</v>
      </c>
      <c r="B66" s="3">
        <v>45436</v>
      </c>
      <c r="C66" s="4">
        <v>100.1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f t="shared" ref="J66:J97" si="7">D66-C66-E66-G66-F66-H66-I66</f>
        <v>-100.1</v>
      </c>
      <c r="K66" s="4">
        <f t="shared" si="1"/>
        <v>-100.1</v>
      </c>
      <c r="L66" s="4">
        <f t="shared" si="5"/>
        <v>4138.6900000000005</v>
      </c>
    </row>
    <row r="67" spans="1:12" ht="15.75" x14ac:dyDescent="0.25">
      <c r="A67" s="2">
        <f t="shared" si="2"/>
        <v>66</v>
      </c>
      <c r="B67" s="3">
        <v>45443</v>
      </c>
      <c r="C67" s="4">
        <v>100.1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4">
        <f t="shared" si="7"/>
        <v>-100.1</v>
      </c>
      <c r="K67" s="4">
        <f t="shared" ref="K67:K72" si="8">D67-C67</f>
        <v>-100.1</v>
      </c>
      <c r="L67" s="4">
        <f t="shared" si="5"/>
        <v>4038.5900000000006</v>
      </c>
    </row>
    <row r="68" spans="1:12" ht="15.75" x14ac:dyDescent="0.25">
      <c r="A68" s="2">
        <f t="shared" si="2"/>
        <v>67</v>
      </c>
      <c r="B68" s="3">
        <v>45450</v>
      </c>
      <c r="C68" s="4">
        <v>100.1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f t="shared" si="7"/>
        <v>-100.1</v>
      </c>
      <c r="K68" s="4">
        <f t="shared" si="8"/>
        <v>-100.1</v>
      </c>
      <c r="L68" s="4">
        <f t="shared" si="5"/>
        <v>3938.4900000000007</v>
      </c>
    </row>
    <row r="69" spans="1:12" ht="15.75" x14ac:dyDescent="0.25">
      <c r="A69" s="2">
        <f t="shared" si="2"/>
        <v>68</v>
      </c>
      <c r="B69" s="3">
        <v>45457</v>
      </c>
      <c r="C69" s="4">
        <v>100.1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  <c r="J69" s="4">
        <f t="shared" si="7"/>
        <v>-100.1</v>
      </c>
      <c r="K69" s="4">
        <f t="shared" si="8"/>
        <v>-100.1</v>
      </c>
      <c r="L69" s="4">
        <f t="shared" si="5"/>
        <v>3838.3900000000008</v>
      </c>
    </row>
    <row r="70" spans="1:12" ht="15.75" x14ac:dyDescent="0.25">
      <c r="A70" s="2">
        <f t="shared" ref="A70:A72" si="9">A69+1</f>
        <v>69</v>
      </c>
      <c r="B70" s="3">
        <v>45464</v>
      </c>
      <c r="C70" s="4">
        <v>100.1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f t="shared" si="7"/>
        <v>-100.1</v>
      </c>
      <c r="K70" s="4">
        <f t="shared" si="8"/>
        <v>-100.1</v>
      </c>
      <c r="L70" s="4">
        <f t="shared" si="5"/>
        <v>3738.2900000000009</v>
      </c>
    </row>
    <row r="71" spans="1:12" ht="15.75" x14ac:dyDescent="0.25">
      <c r="A71" s="2">
        <f t="shared" si="9"/>
        <v>70</v>
      </c>
      <c r="B71" s="3">
        <v>45471</v>
      </c>
      <c r="C71" s="4">
        <v>100.1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4">
        <f t="shared" si="7"/>
        <v>-100.1</v>
      </c>
      <c r="K71" s="4">
        <f t="shared" si="8"/>
        <v>-100.1</v>
      </c>
      <c r="L71" s="4">
        <f t="shared" si="5"/>
        <v>3638.190000000001</v>
      </c>
    </row>
    <row r="72" spans="1:12" ht="15.75" x14ac:dyDescent="0.25">
      <c r="A72" s="2">
        <f t="shared" si="9"/>
        <v>71</v>
      </c>
      <c r="B72" s="3">
        <v>45478</v>
      </c>
      <c r="C72" s="4">
        <v>100.1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4">
        <f t="shared" si="7"/>
        <v>-100.1</v>
      </c>
      <c r="K72" s="4">
        <f t="shared" si="8"/>
        <v>-100.1</v>
      </c>
      <c r="L72" s="4">
        <f t="shared" si="5"/>
        <v>3538.0900000000011</v>
      </c>
    </row>
    <row r="73" spans="1:12" ht="15.75" x14ac:dyDescent="0.25">
      <c r="A73" s="2">
        <f t="shared" ref="A73:A75" si="10">A72+1</f>
        <v>72</v>
      </c>
      <c r="B73" s="3">
        <v>45485</v>
      </c>
      <c r="C73" s="4">
        <v>100.1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4">
        <f t="shared" si="7"/>
        <v>-100.1</v>
      </c>
      <c r="K73" s="4">
        <f t="shared" ref="K73:K75" si="11">D73-C73</f>
        <v>-100.1</v>
      </c>
      <c r="L73" s="4">
        <f t="shared" ref="L73:L75" si="12">L72+K73</f>
        <v>3437.9900000000011</v>
      </c>
    </row>
    <row r="74" spans="1:12" ht="15.75" x14ac:dyDescent="0.25">
      <c r="A74" s="2">
        <f t="shared" si="10"/>
        <v>73</v>
      </c>
      <c r="B74" s="3">
        <v>45492</v>
      </c>
      <c r="C74" s="4">
        <v>100.1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4">
        <f t="shared" si="7"/>
        <v>-100.1</v>
      </c>
      <c r="K74" s="4">
        <f t="shared" si="11"/>
        <v>-100.1</v>
      </c>
      <c r="L74" s="4">
        <f t="shared" si="12"/>
        <v>3337.8900000000012</v>
      </c>
    </row>
    <row r="75" spans="1:12" ht="15.75" x14ac:dyDescent="0.25">
      <c r="A75" s="2">
        <f t="shared" si="10"/>
        <v>74</v>
      </c>
      <c r="B75" s="3">
        <v>45499</v>
      </c>
      <c r="C75" s="4">
        <v>100.1</v>
      </c>
      <c r="D75" s="4">
        <v>928.76</v>
      </c>
      <c r="E75" s="4">
        <v>46.44</v>
      </c>
      <c r="F75" s="4">
        <v>92.88</v>
      </c>
      <c r="G75" s="4">
        <v>46.44</v>
      </c>
      <c r="H75" s="4">
        <v>46.44</v>
      </c>
      <c r="I75" s="4">
        <v>139.31</v>
      </c>
      <c r="J75" s="4">
        <f t="shared" si="7"/>
        <v>457.15000000000003</v>
      </c>
      <c r="K75" s="4">
        <f t="shared" si="11"/>
        <v>828.66</v>
      </c>
      <c r="L75" s="4">
        <f t="shared" si="12"/>
        <v>4166.5500000000011</v>
      </c>
    </row>
    <row r="76" spans="1:12" ht="15.75" x14ac:dyDescent="0.25">
      <c r="A76" s="2">
        <v>75</v>
      </c>
      <c r="B76" s="3">
        <v>45506</v>
      </c>
      <c r="C76" s="4">
        <v>100.1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  <c r="J76" s="4">
        <f t="shared" si="7"/>
        <v>-100.1</v>
      </c>
      <c r="K76" s="4">
        <f>D76-C76</f>
        <v>-100.1</v>
      </c>
      <c r="L76" s="4">
        <f>L75+K76</f>
        <v>4066.4500000000012</v>
      </c>
    </row>
    <row r="77" spans="1:12" ht="15.75" x14ac:dyDescent="0.25">
      <c r="A77" s="2">
        <f>A76+1</f>
        <v>76</v>
      </c>
      <c r="B77" s="3">
        <v>45513</v>
      </c>
      <c r="C77" s="4">
        <v>100.1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4">
        <f t="shared" si="7"/>
        <v>-100.1</v>
      </c>
      <c r="K77" s="4">
        <f>D77-C77</f>
        <v>-100.1</v>
      </c>
      <c r="L77" s="4">
        <f>L76+K77</f>
        <v>3966.3500000000013</v>
      </c>
    </row>
    <row r="78" spans="1:12" ht="15.75" x14ac:dyDescent="0.25">
      <c r="A78" s="2">
        <f t="shared" ref="A78:A82" si="13">A77+1</f>
        <v>77</v>
      </c>
      <c r="B78" s="3">
        <v>45520</v>
      </c>
      <c r="C78" s="4">
        <v>100.1</v>
      </c>
      <c r="D78" s="4">
        <v>194.7</v>
      </c>
      <c r="E78" s="4">
        <v>0</v>
      </c>
      <c r="F78" s="4">
        <v>29.21</v>
      </c>
      <c r="G78" s="4">
        <v>9.74</v>
      </c>
      <c r="H78" s="4">
        <v>29.21</v>
      </c>
      <c r="I78" s="4">
        <v>9.74</v>
      </c>
      <c r="J78" s="4">
        <f t="shared" si="7"/>
        <v>16.699999999999996</v>
      </c>
      <c r="K78" s="4">
        <f t="shared" ref="K78:K81" si="14">D78-C78</f>
        <v>94.6</v>
      </c>
      <c r="L78" s="4">
        <f t="shared" ref="L78:L82" si="15">L77+K78</f>
        <v>4060.9500000000012</v>
      </c>
    </row>
    <row r="79" spans="1:12" ht="15.75" x14ac:dyDescent="0.25">
      <c r="A79" s="2">
        <f t="shared" si="13"/>
        <v>78</v>
      </c>
      <c r="B79" s="3">
        <v>45527</v>
      </c>
      <c r="C79" s="4">
        <v>100.1</v>
      </c>
      <c r="D79" s="4">
        <v>51.34</v>
      </c>
      <c r="E79" s="4">
        <v>2.57</v>
      </c>
      <c r="F79" s="4">
        <v>2.57</v>
      </c>
      <c r="G79" s="4">
        <v>7.7</v>
      </c>
      <c r="H79" s="4">
        <v>5.13</v>
      </c>
      <c r="I79" s="4">
        <v>2.57</v>
      </c>
      <c r="J79" s="4">
        <f t="shared" si="7"/>
        <v>-69.299999999999983</v>
      </c>
      <c r="K79" s="4">
        <f t="shared" si="14"/>
        <v>-48.759999999999991</v>
      </c>
      <c r="L79" s="4">
        <f t="shared" si="15"/>
        <v>4012.1900000000014</v>
      </c>
    </row>
    <row r="80" spans="1:12" ht="15.75" x14ac:dyDescent="0.25">
      <c r="A80" s="2">
        <f t="shared" si="13"/>
        <v>79</v>
      </c>
      <c r="B80" s="3">
        <v>45534</v>
      </c>
      <c r="C80" s="4">
        <v>100.1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4">
        <f t="shared" si="7"/>
        <v>-100.1</v>
      </c>
      <c r="K80" s="4">
        <f t="shared" si="14"/>
        <v>-100.1</v>
      </c>
      <c r="L80" s="4">
        <f t="shared" si="15"/>
        <v>3912.0900000000015</v>
      </c>
    </row>
    <row r="81" spans="1:12" ht="15.75" x14ac:dyDescent="0.25">
      <c r="A81" s="2">
        <f t="shared" si="13"/>
        <v>80</v>
      </c>
      <c r="B81" s="3">
        <v>45541</v>
      </c>
      <c r="C81" s="4">
        <v>100.1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  <c r="J81" s="4">
        <f t="shared" si="7"/>
        <v>-100.1</v>
      </c>
      <c r="K81" s="4">
        <f t="shared" si="14"/>
        <v>-100.1</v>
      </c>
      <c r="L81" s="4">
        <f t="shared" si="15"/>
        <v>3811.9900000000016</v>
      </c>
    </row>
    <row r="82" spans="1:12" ht="15.75" x14ac:dyDescent="0.25">
      <c r="A82" s="2">
        <f t="shared" si="13"/>
        <v>81</v>
      </c>
      <c r="B82" s="3">
        <v>45548</v>
      </c>
      <c r="C82" s="4">
        <v>100.1</v>
      </c>
      <c r="D82" s="4">
        <v>0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  <c r="J82" s="4">
        <f t="shared" si="7"/>
        <v>-100.1</v>
      </c>
      <c r="K82" s="4">
        <f t="shared" ref="K82:K87" si="16">D82-C82</f>
        <v>-100.1</v>
      </c>
      <c r="L82" s="4">
        <f t="shared" si="15"/>
        <v>3711.8900000000017</v>
      </c>
    </row>
    <row r="83" spans="1:12" ht="15.75" x14ac:dyDescent="0.25">
      <c r="A83" s="2">
        <f t="shared" ref="A83:A88" si="17">A82+1</f>
        <v>82</v>
      </c>
      <c r="B83" s="3">
        <v>45555</v>
      </c>
      <c r="C83" s="4">
        <v>100.1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4">
        <f t="shared" si="7"/>
        <v>-100.1</v>
      </c>
      <c r="K83" s="4">
        <f t="shared" si="16"/>
        <v>-100.1</v>
      </c>
      <c r="L83" s="4">
        <f t="shared" ref="L83:L88" si="18">L82+K83</f>
        <v>3611.7900000000018</v>
      </c>
    </row>
    <row r="84" spans="1:12" ht="15.75" x14ac:dyDescent="0.25">
      <c r="A84" s="2">
        <f t="shared" si="17"/>
        <v>83</v>
      </c>
      <c r="B84" s="3">
        <v>45562</v>
      </c>
      <c r="C84" s="4">
        <v>100.1</v>
      </c>
      <c r="D84" s="4">
        <v>1068.5</v>
      </c>
      <c r="E84" s="4">
        <v>0</v>
      </c>
      <c r="F84" s="4">
        <v>53.43</v>
      </c>
      <c r="G84" s="4">
        <v>106.85</v>
      </c>
      <c r="H84" s="4">
        <v>106.85</v>
      </c>
      <c r="I84" s="4">
        <v>160.28</v>
      </c>
      <c r="J84" s="4">
        <f t="shared" si="7"/>
        <v>540.99</v>
      </c>
      <c r="K84" s="4">
        <f t="shared" si="16"/>
        <v>968.4</v>
      </c>
      <c r="L84" s="4">
        <f t="shared" si="18"/>
        <v>4580.1900000000014</v>
      </c>
    </row>
    <row r="85" spans="1:12" ht="15.75" x14ac:dyDescent="0.25">
      <c r="A85" s="2">
        <f t="shared" si="17"/>
        <v>84</v>
      </c>
      <c r="B85" s="3">
        <v>45569</v>
      </c>
      <c r="C85" s="4">
        <v>100.1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f t="shared" si="7"/>
        <v>-100.1</v>
      </c>
      <c r="K85" s="4">
        <f t="shared" si="16"/>
        <v>-100.1</v>
      </c>
      <c r="L85" s="4">
        <f t="shared" si="18"/>
        <v>4480.0900000000011</v>
      </c>
    </row>
    <row r="86" spans="1:12" ht="15.75" x14ac:dyDescent="0.25">
      <c r="A86" s="2">
        <f t="shared" si="17"/>
        <v>85</v>
      </c>
      <c r="B86" s="3">
        <v>45576</v>
      </c>
      <c r="C86" s="4">
        <v>100.1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4">
        <f t="shared" si="7"/>
        <v>-100.1</v>
      </c>
      <c r="K86" s="4">
        <f t="shared" si="16"/>
        <v>-100.1</v>
      </c>
      <c r="L86" s="4">
        <f t="shared" si="18"/>
        <v>4379.9900000000007</v>
      </c>
    </row>
    <row r="87" spans="1:12" ht="15.75" x14ac:dyDescent="0.25">
      <c r="A87" s="2">
        <f t="shared" si="17"/>
        <v>86</v>
      </c>
      <c r="B87" s="3">
        <v>45583</v>
      </c>
      <c r="C87" s="4">
        <v>100.1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4">
        <f t="shared" si="7"/>
        <v>-100.1</v>
      </c>
      <c r="K87" s="4">
        <f t="shared" si="16"/>
        <v>-100.1</v>
      </c>
      <c r="L87" s="4">
        <f t="shared" si="18"/>
        <v>4279.8900000000003</v>
      </c>
    </row>
    <row r="88" spans="1:12" ht="15.75" x14ac:dyDescent="0.25">
      <c r="A88" s="2">
        <f t="shared" si="17"/>
        <v>87</v>
      </c>
      <c r="B88" s="3">
        <v>45590</v>
      </c>
      <c r="C88" s="4">
        <v>100.1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  <c r="J88" s="4">
        <f t="shared" si="7"/>
        <v>-100.1</v>
      </c>
      <c r="K88" s="4">
        <f>D88-C88</f>
        <v>-100.1</v>
      </c>
      <c r="L88" s="4">
        <f t="shared" si="18"/>
        <v>4179.79</v>
      </c>
    </row>
    <row r="89" spans="1:12" ht="15.75" x14ac:dyDescent="0.25">
      <c r="A89" s="2">
        <f>A88+1</f>
        <v>88</v>
      </c>
      <c r="B89" s="3">
        <v>45597</v>
      </c>
      <c r="C89" s="4">
        <v>100.1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4">
        <f t="shared" si="7"/>
        <v>-100.1</v>
      </c>
      <c r="K89" s="4">
        <f>D89-C89</f>
        <v>-100.1</v>
      </c>
      <c r="L89" s="4">
        <f>L88+K89</f>
        <v>4079.69</v>
      </c>
    </row>
    <row r="90" spans="1:12" ht="15.75" x14ac:dyDescent="0.25">
      <c r="A90" s="2">
        <f t="shared" ref="A90:A94" si="19">A89+1</f>
        <v>89</v>
      </c>
      <c r="B90" s="3">
        <v>45604</v>
      </c>
      <c r="C90" s="4">
        <v>100.1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4">
        <f t="shared" si="7"/>
        <v>-100.1</v>
      </c>
      <c r="K90" s="4">
        <f t="shared" ref="K90:K94" si="20">D90-C90</f>
        <v>-100.1</v>
      </c>
      <c r="L90" s="4">
        <f t="shared" ref="L90:L94" si="21">L89+K90</f>
        <v>3979.59</v>
      </c>
    </row>
    <row r="91" spans="1:12" ht="15.75" x14ac:dyDescent="0.25">
      <c r="A91" s="2">
        <f t="shared" si="19"/>
        <v>90</v>
      </c>
      <c r="B91" s="3">
        <v>45611</v>
      </c>
      <c r="C91" s="4">
        <v>100.1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4">
        <f t="shared" si="7"/>
        <v>-100.1</v>
      </c>
      <c r="K91" s="4">
        <f t="shared" si="20"/>
        <v>-100.1</v>
      </c>
      <c r="L91" s="4">
        <f t="shared" si="21"/>
        <v>3879.4900000000002</v>
      </c>
    </row>
    <row r="92" spans="1:12" ht="15.75" x14ac:dyDescent="0.25">
      <c r="A92" s="2">
        <f t="shared" si="19"/>
        <v>91</v>
      </c>
      <c r="B92" s="3">
        <v>45618</v>
      </c>
      <c r="C92" s="4">
        <v>100.1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4">
        <f t="shared" si="7"/>
        <v>-100.1</v>
      </c>
      <c r="K92" s="4">
        <f t="shared" si="20"/>
        <v>-100.1</v>
      </c>
      <c r="L92" s="4">
        <f t="shared" si="21"/>
        <v>3779.3900000000003</v>
      </c>
    </row>
    <row r="93" spans="1:12" ht="15.75" x14ac:dyDescent="0.25">
      <c r="A93" s="2">
        <f t="shared" si="19"/>
        <v>92</v>
      </c>
      <c r="B93" s="3">
        <v>45625</v>
      </c>
      <c r="C93" s="4">
        <v>100.1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f t="shared" si="7"/>
        <v>-100.1</v>
      </c>
      <c r="K93" s="4">
        <f t="shared" si="20"/>
        <v>-100.1</v>
      </c>
      <c r="L93" s="4">
        <f t="shared" si="21"/>
        <v>3679.2900000000004</v>
      </c>
    </row>
    <row r="94" spans="1:12" ht="15.75" x14ac:dyDescent="0.25">
      <c r="A94" s="2">
        <f t="shared" si="19"/>
        <v>93</v>
      </c>
      <c r="B94" s="3">
        <v>45632</v>
      </c>
      <c r="C94" s="4">
        <v>100.1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4">
        <f t="shared" si="7"/>
        <v>-100.1</v>
      </c>
      <c r="K94" s="4">
        <f t="shared" si="20"/>
        <v>-100.1</v>
      </c>
      <c r="L94" s="4">
        <f t="shared" si="21"/>
        <v>3579.1900000000005</v>
      </c>
    </row>
    <row r="95" spans="1:12" ht="15.75" x14ac:dyDescent="0.25">
      <c r="A95" s="2">
        <f t="shared" ref="A95:A100" si="22">A94+1</f>
        <v>94</v>
      </c>
      <c r="B95" s="3">
        <v>45639</v>
      </c>
      <c r="C95" s="4">
        <v>100.1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4">
        <f t="shared" si="7"/>
        <v>-100.1</v>
      </c>
      <c r="K95" s="4">
        <f t="shared" ref="K95:K100" si="23">D95-C95</f>
        <v>-100.1</v>
      </c>
      <c r="L95" s="4">
        <f t="shared" ref="L95:L100" si="24">L94+K95</f>
        <v>3479.0900000000006</v>
      </c>
    </row>
    <row r="96" spans="1:12" ht="15.75" x14ac:dyDescent="0.25">
      <c r="A96" s="2">
        <f t="shared" si="22"/>
        <v>95</v>
      </c>
      <c r="B96" s="3">
        <v>45646</v>
      </c>
      <c r="C96" s="4">
        <v>100.1</v>
      </c>
      <c r="D96" s="4">
        <v>0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  <c r="J96" s="4">
        <f t="shared" si="7"/>
        <v>-100.1</v>
      </c>
      <c r="K96" s="4">
        <f t="shared" si="23"/>
        <v>-100.1</v>
      </c>
      <c r="L96" s="4">
        <f t="shared" si="24"/>
        <v>3378.9900000000007</v>
      </c>
    </row>
    <row r="97" spans="1:12" ht="15.75" x14ac:dyDescent="0.25">
      <c r="A97" s="2">
        <f t="shared" si="22"/>
        <v>96</v>
      </c>
      <c r="B97" s="3">
        <v>45653</v>
      </c>
      <c r="C97" s="4">
        <v>100.1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4">
        <f t="shared" si="7"/>
        <v>-100.1</v>
      </c>
      <c r="K97" s="4">
        <f t="shared" si="23"/>
        <v>-100.1</v>
      </c>
      <c r="L97" s="4">
        <f t="shared" si="24"/>
        <v>3278.8900000000008</v>
      </c>
    </row>
    <row r="98" spans="1:12" ht="15.75" x14ac:dyDescent="0.25">
      <c r="A98" s="2">
        <f t="shared" si="22"/>
        <v>97</v>
      </c>
      <c r="B98" s="3">
        <v>45660</v>
      </c>
      <c r="C98" s="4">
        <v>100.1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4">
        <f t="shared" ref="J98:J110" si="25">D98-C98-E98-G98-F98-H98-I98</f>
        <v>-100.1</v>
      </c>
      <c r="K98" s="4">
        <f t="shared" si="23"/>
        <v>-100.1</v>
      </c>
      <c r="L98" s="4">
        <f t="shared" si="24"/>
        <v>3178.7900000000009</v>
      </c>
    </row>
    <row r="99" spans="1:12" ht="15.75" x14ac:dyDescent="0.25">
      <c r="A99" s="2">
        <f t="shared" si="22"/>
        <v>98</v>
      </c>
      <c r="B99" s="3">
        <v>45667</v>
      </c>
      <c r="C99" s="4">
        <v>100.1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f t="shared" si="25"/>
        <v>-100.1</v>
      </c>
      <c r="K99" s="4">
        <f t="shared" si="23"/>
        <v>-100.1</v>
      </c>
      <c r="L99" s="4">
        <f t="shared" si="24"/>
        <v>3078.690000000001</v>
      </c>
    </row>
    <row r="100" spans="1:12" ht="15.75" x14ac:dyDescent="0.25">
      <c r="A100" s="2">
        <f t="shared" si="22"/>
        <v>99</v>
      </c>
      <c r="B100" s="3">
        <v>45674</v>
      </c>
      <c r="C100" s="4">
        <v>100.1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4">
        <f t="shared" si="25"/>
        <v>-100.1</v>
      </c>
      <c r="K100" s="4">
        <f t="shared" si="23"/>
        <v>-100.1</v>
      </c>
      <c r="L100" s="4">
        <f t="shared" si="24"/>
        <v>2978.5900000000011</v>
      </c>
    </row>
    <row r="101" spans="1:12" ht="15.75" x14ac:dyDescent="0.25">
      <c r="A101" s="2">
        <f t="shared" ref="A101:A106" si="26">A100+1</f>
        <v>100</v>
      </c>
      <c r="B101" s="3">
        <v>45681</v>
      </c>
      <c r="C101" s="4">
        <v>100.1</v>
      </c>
      <c r="D101" s="4">
        <v>105.04</v>
      </c>
      <c r="E101" s="4">
        <v>0</v>
      </c>
      <c r="F101" s="4">
        <v>10.5</v>
      </c>
      <c r="G101" s="4">
        <v>21</v>
      </c>
      <c r="H101" s="4">
        <v>0</v>
      </c>
      <c r="I101" s="4">
        <v>10.5</v>
      </c>
      <c r="J101" s="4">
        <f t="shared" si="25"/>
        <v>-37.059999999999988</v>
      </c>
      <c r="K101" s="4">
        <f t="shared" ref="K101:K106" si="27">D101-C101</f>
        <v>4.9400000000000119</v>
      </c>
      <c r="L101" s="4">
        <f t="shared" ref="L101:L106" si="28">L100+K101</f>
        <v>2983.5300000000011</v>
      </c>
    </row>
    <row r="102" spans="1:12" ht="15.75" x14ac:dyDescent="0.25">
      <c r="A102" s="2">
        <f t="shared" si="26"/>
        <v>101</v>
      </c>
      <c r="B102" s="3">
        <v>45688</v>
      </c>
      <c r="C102" s="4">
        <v>100.1</v>
      </c>
      <c r="D102" s="4">
        <v>0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  <c r="J102" s="4">
        <f t="shared" si="25"/>
        <v>-100.1</v>
      </c>
      <c r="K102" s="4">
        <f t="shared" si="27"/>
        <v>-100.1</v>
      </c>
      <c r="L102" s="4">
        <f t="shared" si="28"/>
        <v>2883.4300000000012</v>
      </c>
    </row>
    <row r="103" spans="1:12" ht="15.75" x14ac:dyDescent="0.25">
      <c r="A103" s="2">
        <f t="shared" si="26"/>
        <v>102</v>
      </c>
      <c r="B103" s="3">
        <v>45695</v>
      </c>
      <c r="C103" s="4">
        <v>100.1</v>
      </c>
      <c r="D103" s="4">
        <v>0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  <c r="J103" s="4">
        <f t="shared" si="25"/>
        <v>-100.1</v>
      </c>
      <c r="K103" s="4">
        <f t="shared" si="27"/>
        <v>-100.1</v>
      </c>
      <c r="L103" s="4">
        <f t="shared" si="28"/>
        <v>2783.3300000000013</v>
      </c>
    </row>
    <row r="104" spans="1:12" ht="15.75" x14ac:dyDescent="0.25">
      <c r="A104" s="2">
        <f t="shared" si="26"/>
        <v>103</v>
      </c>
      <c r="B104" s="3">
        <v>45702</v>
      </c>
      <c r="C104" s="4">
        <v>100.1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4">
        <f t="shared" si="25"/>
        <v>-100.1</v>
      </c>
      <c r="K104" s="4">
        <f t="shared" si="27"/>
        <v>-100.1</v>
      </c>
      <c r="L104" s="4">
        <f t="shared" si="28"/>
        <v>2683.2300000000014</v>
      </c>
    </row>
    <row r="105" spans="1:12" ht="15.75" x14ac:dyDescent="0.25">
      <c r="A105" s="2">
        <f t="shared" si="26"/>
        <v>104</v>
      </c>
      <c r="B105" s="3">
        <v>45709</v>
      </c>
      <c r="C105" s="4">
        <v>100.1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4">
        <f t="shared" si="25"/>
        <v>-100.1</v>
      </c>
      <c r="K105" s="4">
        <f t="shared" si="27"/>
        <v>-100.1</v>
      </c>
      <c r="L105" s="4">
        <f t="shared" si="28"/>
        <v>2583.1300000000015</v>
      </c>
    </row>
    <row r="106" spans="1:12" ht="15.75" x14ac:dyDescent="0.25">
      <c r="A106" s="2">
        <f t="shared" si="26"/>
        <v>105</v>
      </c>
      <c r="B106" s="3">
        <v>45716</v>
      </c>
      <c r="C106" s="4">
        <v>100.1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4">
        <f t="shared" si="25"/>
        <v>-100.1</v>
      </c>
      <c r="K106" s="4">
        <f t="shared" si="27"/>
        <v>-100.1</v>
      </c>
      <c r="L106" s="4">
        <f t="shared" si="28"/>
        <v>2483.0300000000016</v>
      </c>
    </row>
    <row r="107" spans="1:12" ht="15.75" x14ac:dyDescent="0.25">
      <c r="A107" s="2">
        <f t="shared" ref="A107:A112" si="29">A106+1</f>
        <v>106</v>
      </c>
      <c r="B107" s="3">
        <v>45723</v>
      </c>
      <c r="C107" s="4">
        <v>100.1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4">
        <f t="shared" si="25"/>
        <v>-100.1</v>
      </c>
      <c r="K107" s="4">
        <f t="shared" ref="K107:K112" si="30">D107-C107</f>
        <v>-100.1</v>
      </c>
      <c r="L107" s="4">
        <f t="shared" ref="L107:L112" si="31">L106+K107</f>
        <v>2382.9300000000017</v>
      </c>
    </row>
    <row r="108" spans="1:12" ht="15.75" x14ac:dyDescent="0.25">
      <c r="A108" s="2">
        <f t="shared" si="29"/>
        <v>107</v>
      </c>
      <c r="B108" s="3">
        <v>45730</v>
      </c>
      <c r="C108" s="4">
        <v>100.1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4">
        <f t="shared" si="25"/>
        <v>-100.1</v>
      </c>
      <c r="K108" s="4">
        <f t="shared" si="30"/>
        <v>-100.1</v>
      </c>
      <c r="L108" s="4">
        <f t="shared" si="31"/>
        <v>2282.8300000000017</v>
      </c>
    </row>
    <row r="109" spans="1:12" ht="15.75" x14ac:dyDescent="0.25">
      <c r="A109" s="2">
        <f t="shared" si="29"/>
        <v>108</v>
      </c>
      <c r="B109" s="3">
        <v>45737</v>
      </c>
      <c r="C109" s="4">
        <v>100.1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4">
        <f t="shared" si="25"/>
        <v>-100.1</v>
      </c>
      <c r="K109" s="4">
        <f t="shared" si="30"/>
        <v>-100.1</v>
      </c>
      <c r="L109" s="4">
        <f t="shared" si="31"/>
        <v>2182.7300000000018</v>
      </c>
    </row>
    <row r="110" spans="1:12" ht="15.75" x14ac:dyDescent="0.25">
      <c r="A110" s="2">
        <f t="shared" si="29"/>
        <v>109</v>
      </c>
      <c r="B110" s="3">
        <v>45744</v>
      </c>
      <c r="C110" s="4">
        <v>100.1</v>
      </c>
      <c r="D110" s="4">
        <v>106.33</v>
      </c>
      <c r="E110" s="4">
        <v>0</v>
      </c>
      <c r="F110" s="4">
        <v>10.63</v>
      </c>
      <c r="G110" s="4">
        <v>10.63</v>
      </c>
      <c r="H110" s="4">
        <v>5.32</v>
      </c>
      <c r="I110" s="4">
        <v>15.95</v>
      </c>
      <c r="J110" s="4">
        <f t="shared" si="25"/>
        <v>-36.299999999999997</v>
      </c>
      <c r="K110" s="4">
        <f t="shared" si="30"/>
        <v>6.230000000000004</v>
      </c>
      <c r="L110" s="4">
        <f t="shared" si="31"/>
        <v>2188.9600000000019</v>
      </c>
    </row>
    <row r="111" spans="1:12" ht="15.75" x14ac:dyDescent="0.25">
      <c r="A111" s="2">
        <f t="shared" si="29"/>
        <v>110</v>
      </c>
      <c r="B111" s="3">
        <v>45751</v>
      </c>
      <c r="C111" s="4">
        <v>100.1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4">
        <f t="shared" ref="J111:J116" si="32">D111-C111-E111-G111-F111-H111-I111</f>
        <v>-100.1</v>
      </c>
      <c r="K111" s="4">
        <f t="shared" si="30"/>
        <v>-100.1</v>
      </c>
      <c r="L111" s="4">
        <f t="shared" si="31"/>
        <v>2088.8600000000019</v>
      </c>
    </row>
    <row r="112" spans="1:12" ht="15.75" x14ac:dyDescent="0.25">
      <c r="A112" s="2">
        <f t="shared" si="29"/>
        <v>111</v>
      </c>
      <c r="B112" s="3">
        <v>45758</v>
      </c>
      <c r="C112" s="4">
        <v>100.1</v>
      </c>
      <c r="D112" s="4">
        <v>85.49</v>
      </c>
      <c r="E112" s="4">
        <v>0</v>
      </c>
      <c r="F112" s="4">
        <v>8.5500000000000007</v>
      </c>
      <c r="G112" s="4">
        <v>8.5500000000000007</v>
      </c>
      <c r="H112" s="4">
        <v>4.2699999999999996</v>
      </c>
      <c r="I112" s="4">
        <v>12.82</v>
      </c>
      <c r="J112" s="4">
        <f t="shared" si="32"/>
        <v>-48.800000000000004</v>
      </c>
      <c r="K112" s="4">
        <f t="shared" si="30"/>
        <v>-14.61</v>
      </c>
      <c r="L112" s="4">
        <f t="shared" si="31"/>
        <v>2074.2500000000018</v>
      </c>
    </row>
    <row r="113" spans="1:12" ht="15.75" x14ac:dyDescent="0.25">
      <c r="A113" s="2">
        <f>A112+1</f>
        <v>112</v>
      </c>
      <c r="B113" s="3">
        <v>45765</v>
      </c>
      <c r="C113" s="4">
        <v>100.1</v>
      </c>
      <c r="D113" s="4">
        <v>6032.18</v>
      </c>
      <c r="E113" s="4">
        <v>0</v>
      </c>
      <c r="F113" s="4">
        <v>603.22</v>
      </c>
      <c r="G113" s="4">
        <v>904.83</v>
      </c>
      <c r="H113" s="4">
        <v>301.61</v>
      </c>
      <c r="I113" s="4">
        <v>603.22</v>
      </c>
      <c r="J113" s="4">
        <f t="shared" si="32"/>
        <v>3519.2</v>
      </c>
      <c r="K113" s="4">
        <f>D113-C113</f>
        <v>5932.08</v>
      </c>
      <c r="L113" s="4">
        <f>L112+K113</f>
        <v>8006.3300000000017</v>
      </c>
    </row>
    <row r="114" spans="1:12" ht="15.75" x14ac:dyDescent="0.25">
      <c r="A114" s="2">
        <f>A113+1</f>
        <v>113</v>
      </c>
      <c r="B114" s="3">
        <v>45772</v>
      </c>
      <c r="C114" s="4">
        <v>100.1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4">
        <f t="shared" si="32"/>
        <v>-100.1</v>
      </c>
      <c r="K114" s="4">
        <f>D114-C114</f>
        <v>-100.1</v>
      </c>
      <c r="L114" s="4">
        <f>L113+K114</f>
        <v>7906.2300000000014</v>
      </c>
    </row>
    <row r="115" spans="1:12" ht="15.75" x14ac:dyDescent="0.25">
      <c r="A115" s="2">
        <f>A114+1</f>
        <v>114</v>
      </c>
      <c r="B115" s="3">
        <v>45779</v>
      </c>
      <c r="C115" s="4">
        <v>100.1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4">
        <f t="shared" si="32"/>
        <v>-100.1</v>
      </c>
      <c r="K115" s="4">
        <f>D115-C115</f>
        <v>-100.1</v>
      </c>
      <c r="L115" s="4">
        <f>L114+K115</f>
        <v>7806.130000000001</v>
      </c>
    </row>
    <row r="116" spans="1:12" ht="15.75" x14ac:dyDescent="0.25">
      <c r="A116" s="2">
        <f>A115+1</f>
        <v>115</v>
      </c>
      <c r="B116" s="3">
        <v>45786</v>
      </c>
      <c r="C116" s="4">
        <v>100.1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  <c r="J116" s="4">
        <f t="shared" si="32"/>
        <v>-100.1</v>
      </c>
      <c r="K116" s="4">
        <f>D116-C116</f>
        <v>-100.1</v>
      </c>
      <c r="L116" s="4">
        <f>L115+K116</f>
        <v>7706.0300000000007</v>
      </c>
    </row>
    <row r="117" spans="1:12" ht="15.75" x14ac:dyDescent="0.25">
      <c r="A117" s="2">
        <f>A116+1</f>
        <v>116</v>
      </c>
      <c r="B117" s="3">
        <v>45793</v>
      </c>
      <c r="C117" s="4">
        <v>100.1</v>
      </c>
      <c r="D117" s="4">
        <v>0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  <c r="J117" s="4">
        <f>D117-C117-E117-G117-F117-H117-I117</f>
        <v>-100.1</v>
      </c>
      <c r="K117" s="4">
        <f>D117-C117</f>
        <v>-100.1</v>
      </c>
      <c r="L117" s="4">
        <f>L116+K117</f>
        <v>7605.93</v>
      </c>
    </row>
  </sheetData>
  <pageMargins left="0.7" right="0.7" top="0.78740157499999996" bottom="0.78740157499999996" header="0.3" footer="0.3"/>
  <ignoredErrors>
    <ignoredError sqref="A76" calculatedColumn="1"/>
  </ignoredErrors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2025-05-19T16:11:40Z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