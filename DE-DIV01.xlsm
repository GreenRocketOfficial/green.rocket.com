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80" documentId="13_ncr:1_{32BD3745-769A-4363-92E4-3EACA8D86657}" xr6:coauthVersionLast="47" xr6:coauthVersionMax="47" xr10:uidLastSave="{2920C896-E243-48EC-9BA6-35236A70C319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Finanzen!$J$1:$J$122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0" i="11" l="1"/>
  <c r="A130" i="11"/>
  <c r="J129" i="11"/>
  <c r="A129" i="11"/>
  <c r="J128" i="11"/>
  <c r="A128" i="11"/>
  <c r="J127" i="11"/>
  <c r="A127" i="11"/>
  <c r="J113" i="11"/>
  <c r="J126" i="11"/>
  <c r="A126" i="11"/>
  <c r="J125" i="11"/>
  <c r="F18" i="12"/>
  <c r="A125" i="11"/>
  <c r="J124" i="11"/>
  <c r="A124" i="11"/>
  <c r="J123" i="11"/>
  <c r="A123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4" i="11"/>
  <c r="J115" i="11"/>
  <c r="J116" i="11"/>
  <c r="J117" i="11"/>
  <c r="J118" i="11"/>
  <c r="J119" i="11"/>
  <c r="J120" i="11"/>
  <c r="J121" i="11"/>
  <c r="J122" i="11"/>
  <c r="J2" i="11"/>
  <c r="F17" i="12"/>
  <c r="J22" i="12"/>
  <c r="L22" i="12" s="1"/>
  <c r="J24" i="12"/>
  <c r="L23" i="12" s="1"/>
  <c r="J25" i="12"/>
  <c r="L25" i="12" s="1"/>
  <c r="J23" i="12"/>
  <c r="L24" i="12" s="1"/>
  <c r="N2" i="11"/>
  <c r="F13" i="12" s="1"/>
  <c r="M2" i="11"/>
  <c r="F12" i="12" s="1"/>
  <c r="A5" i="11"/>
  <c r="A6" i="11"/>
  <c r="A7" i="11"/>
  <c r="A8" i="11"/>
  <c r="A9" i="11"/>
  <c r="A10" i="11"/>
  <c r="A11" i="11"/>
  <c r="A12" i="11"/>
  <c r="A13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L2" i="11"/>
  <c r="F11" i="12" s="1"/>
  <c r="F14" i="12" l="1"/>
</calcChain>
</file>

<file path=xl/sharedStrings.xml><?xml version="1.0" encoding="utf-8"?>
<sst xmlns="http://schemas.openxmlformats.org/spreadsheetml/2006/main" count="46" uniqueCount="34">
  <si>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</si>
  <si>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</si>
  <si>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</si>
  <si>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</si>
  <si>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</si>
  <si>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</si>
  <si>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</si>
  <si>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</si>
  <si>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</si>
  <si>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</si>
  <si>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</si>
  <si>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</si>
  <si>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</si>
  <si>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</si>
  <si>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</si>
  <si>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</si>
  <si>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</si>
  <si>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</si>
  <si>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</si>
  <si>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</si>
  <si>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</si>
  <si>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+ 4</t>
  </si>
  <si>
    <t>DE002</t>
  </si>
  <si>
    <t>DE001</t>
  </si>
  <si>
    <t>DE004</t>
  </si>
  <si>
    <t>DE003</t>
  </si>
  <si>
    <t>falsch</t>
  </si>
  <si>
    <t>entlassen</t>
  </si>
  <si>
    <t>Statistik Division 1</t>
  </si>
  <si>
    <t>+ 0</t>
  </si>
  <si>
    <t>Spalte1</t>
  </si>
  <si>
    <t>+ 1</t>
  </si>
  <si>
    <t>+ 3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</si>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</sst>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30" totalsRowShown="0" headerRowDxfId="14" dataDxfId="13">
  <autoFilter ref="A1:I130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5" xr3:uid="{FA63E364-1EDC-42C2-85A8-AA6635EED961}" name="entlassen" dataDxfId="8"/>
    <tableColumn id="6" xr3:uid="{0CC11F64-2722-43BD-96D8-11D3926704EB}" name="DE001" dataDxfId="7"/>
    <tableColumn id="7" xr3:uid="{5E213DFF-7615-48CF-8944-4C071C187C55}" name="DE002" dataDxfId="6"/>
    <tableColumn id="8" xr3:uid="{265603BC-E9E1-462B-9A6D-C0F306480253}" name="DE003" dataDxfId="5"/>
    <tableColumn id="9" xr3:uid="{8305AF6F-BFE9-4D5B-8B01-3CF39FA2D0B3}" name="DE004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9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G32" sqref="G32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48" t="s">
        <v>28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49" t="s">
        <v>33</v>
      </c>
      <c r="H6" s="50"/>
      <c r="I6" s="50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50"/>
      <c r="H7" s="50"/>
      <c r="I7" s="50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46" t="s">
        <v>16</v>
      </c>
      <c r="B10" s="46"/>
      <c r="C10" s="46"/>
      <c r="D10" s="46"/>
      <c r="E10" s="46"/>
      <c r="F10" s="46"/>
      <c r="G10" s="46"/>
      <c r="H10" s="46"/>
      <c r="I10" s="46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45" t="s">
        <v>12</v>
      </c>
      <c r="B11" s="45"/>
      <c r="C11" s="45"/>
      <c r="D11" s="45"/>
      <c r="E11" s="45"/>
      <c r="F11" s="45">
        <f>Finanzen!L2</f>
        <v>129</v>
      </c>
      <c r="G11" s="45"/>
      <c r="H11" s="45"/>
      <c r="I11" s="45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45" t="s">
        <v>19</v>
      </c>
      <c r="B12" s="45"/>
      <c r="C12" s="45"/>
      <c r="D12" s="45"/>
      <c r="E12" s="45"/>
      <c r="F12" s="51">
        <f>Finanzen!M2</f>
        <v>22</v>
      </c>
      <c r="G12" s="51"/>
      <c r="H12" s="51"/>
      <c r="I12" s="5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45" t="s">
        <v>20</v>
      </c>
      <c r="B13" s="45"/>
      <c r="C13" s="45"/>
      <c r="D13" s="45"/>
      <c r="E13" s="45"/>
      <c r="F13" s="47">
        <f>Finanzen!N2</f>
        <v>107</v>
      </c>
      <c r="G13" s="47"/>
      <c r="H13" s="47"/>
      <c r="I13" s="4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45" t="s">
        <v>6</v>
      </c>
      <c r="B14" s="45"/>
      <c r="C14" s="45"/>
      <c r="D14" s="45"/>
      <c r="E14" s="45"/>
      <c r="F14" s="45" t="str">
        <f>TEXT(Finanzen!M2/Finanzen!L2,"0,00%")</f>
        <v>17,05%</v>
      </c>
      <c r="G14" s="45"/>
      <c r="H14" s="45"/>
      <c r="I14" s="45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46" t="s">
        <v>17</v>
      </c>
      <c r="B16" s="46"/>
      <c r="C16" s="46"/>
      <c r="D16" s="46"/>
      <c r="E16" s="46"/>
      <c r="F16" s="46"/>
      <c r="G16" s="46"/>
      <c r="H16" s="46"/>
      <c r="I16" s="46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45" t="s">
        <v>10</v>
      </c>
      <c r="B17" s="45"/>
      <c r="C17" s="45"/>
      <c r="D17" s="45"/>
      <c r="E17" s="45"/>
      <c r="F17" s="33">
        <f>SUM(Finanzen!D:D)</f>
        <v>17392.710000000006</v>
      </c>
      <c r="G17" s="33"/>
      <c r="H17" s="33"/>
      <c r="I17" s="33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45" t="s">
        <v>11</v>
      </c>
      <c r="B18" s="45"/>
      <c r="C18" s="45"/>
      <c r="D18" s="45"/>
      <c r="E18" s="45"/>
      <c r="F18" s="33">
        <f>SUM(Finanzen!J:J)</f>
        <v>64.320000000001357</v>
      </c>
      <c r="G18" s="33"/>
      <c r="H18" s="33"/>
      <c r="I18" s="33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25">
      <c r="A19" s="7"/>
      <c r="B19" s="9"/>
      <c r="C19" s="9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66" ht="47.25" thickBot="1" x14ac:dyDescent="0.3">
      <c r="A20" s="46" t="s">
        <v>18</v>
      </c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7">
      <c r="A21" s="40" t="s">
        <v>15</v>
      </c>
      <c r="B21" s="41"/>
      <c r="C21" s="42" t="s">
        <v>4</v>
      </c>
      <c r="D21" s="43"/>
      <c r="E21" s="44"/>
      <c r="F21" s="39" t="s">
        <v>13</v>
      </c>
      <c r="G21" s="35"/>
      <c r="H21" s="39" t="s">
        <v>26</v>
      </c>
      <c r="I21" s="35"/>
      <c r="J21" s="34" t="s">
        <v>14</v>
      </c>
      <c r="K21" s="35"/>
      <c r="L21" s="34" t="s">
        <v>5</v>
      </c>
      <c r="M21" s="35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4">
        <v>1</v>
      </c>
      <c r="B22" s="25"/>
      <c r="C22" s="36" t="s">
        <v>23</v>
      </c>
      <c r="D22" s="37"/>
      <c r="E22" s="38"/>
      <c r="F22" s="14">
        <v>67</v>
      </c>
      <c r="G22" s="12" t="s">
        <v>31</v>
      </c>
      <c r="H22" s="16">
        <v>138</v>
      </c>
      <c r="I22" s="12" t="s">
        <v>32</v>
      </c>
      <c r="J22" s="16">
        <f>F22+H22</f>
        <v>205</v>
      </c>
      <c r="K22" s="12" t="s">
        <v>21</v>
      </c>
      <c r="L22" s="31" t="str">
        <f>TEXT(F22/J22,"0,00%")</f>
        <v>32,68%</v>
      </c>
      <c r="M22" s="32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4">
        <v>2</v>
      </c>
      <c r="B23" s="25"/>
      <c r="C23" s="36" t="s">
        <v>24</v>
      </c>
      <c r="D23" s="37"/>
      <c r="E23" s="38"/>
      <c r="F23" s="14">
        <v>53</v>
      </c>
      <c r="G23" s="12" t="s">
        <v>31</v>
      </c>
      <c r="H23" s="16">
        <v>152</v>
      </c>
      <c r="I23" s="12" t="s">
        <v>32</v>
      </c>
      <c r="J23" s="16">
        <f>F23+H23</f>
        <v>205</v>
      </c>
      <c r="K23" s="12" t="s">
        <v>21</v>
      </c>
      <c r="L23" s="31" t="str">
        <f>TEXT(F24/J24,"0,00%")</f>
        <v>25,87%</v>
      </c>
      <c r="M23" s="3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4">
        <v>3</v>
      </c>
      <c r="B24" s="25"/>
      <c r="C24" s="36" t="s">
        <v>22</v>
      </c>
      <c r="D24" s="37"/>
      <c r="E24" s="38"/>
      <c r="F24" s="14">
        <v>52</v>
      </c>
      <c r="G24" s="12" t="s">
        <v>29</v>
      </c>
      <c r="H24" s="16">
        <v>149</v>
      </c>
      <c r="I24" s="12" t="s">
        <v>29</v>
      </c>
      <c r="J24" s="16">
        <f>F24+H24</f>
        <v>201</v>
      </c>
      <c r="K24" s="12" t="s">
        <v>29</v>
      </c>
      <c r="L24" s="31" t="str">
        <f>TEXT(F23/J23,"0,00%")</f>
        <v>25,85%</v>
      </c>
      <c r="M24" s="32"/>
      <c r="N24" s="7"/>
      <c r="O24" s="7"/>
      <c r="P24" s="7"/>
      <c r="Q24" s="7"/>
      <c r="R24" s="7"/>
      <c r="S24" s="7"/>
      <c r="T24" s="7"/>
      <c r="U24" s="7"/>
      <c r="V24" s="7"/>
    </row>
    <row r="25" spans="1:66" ht="47.25" thickBot="1" x14ac:dyDescent="0.75">
      <c r="A25" s="26">
        <v>4</v>
      </c>
      <c r="B25" s="27"/>
      <c r="C25" s="28" t="s">
        <v>25</v>
      </c>
      <c r="D25" s="29"/>
      <c r="E25" s="30"/>
      <c r="F25" s="15">
        <v>43</v>
      </c>
      <c r="G25" s="13" t="s">
        <v>29</v>
      </c>
      <c r="H25" s="17">
        <v>135</v>
      </c>
      <c r="I25" s="13" t="s">
        <v>29</v>
      </c>
      <c r="J25" s="17">
        <f>F25+H25</f>
        <v>178</v>
      </c>
      <c r="K25" s="13" t="s">
        <v>29</v>
      </c>
      <c r="L25" s="22" t="str">
        <f>TEXT(F25/J25,"0,00%")</f>
        <v>24,16%</v>
      </c>
      <c r="M25" s="23"/>
      <c r="N25" s="7"/>
      <c r="O25" s="7"/>
      <c r="P25" s="7"/>
      <c r="Q25" s="7"/>
      <c r="R25" s="7"/>
      <c r="S25" s="7"/>
      <c r="T25" s="7"/>
      <c r="U25" s="7"/>
      <c r="V25" s="7"/>
    </row>
    <row r="26" spans="1:66" ht="15" customHeight="1" x14ac:dyDescent="0.25">
      <c r="A26" s="7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11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ht="15" customHeight="1" x14ac:dyDescent="0.25">
      <c r="A28" s="10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66" s="6" customFormat="1" ht="10.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x14ac:dyDescent="0.25">
      <c r="A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A31" s="7"/>
      <c r="B31" s="7"/>
      <c r="C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66" x14ac:dyDescent="0.25">
      <c r="D32" s="7"/>
      <c r="E32" s="7"/>
      <c r="F32" s="7"/>
      <c r="G32" s="7"/>
      <c r="H32" s="7"/>
      <c r="I32" s="7"/>
      <c r="J32" s="7"/>
      <c r="K32" s="7"/>
    </row>
    <row r="33" spans="1:24" ht="26.25" customHeight="1" x14ac:dyDescent="0.25">
      <c r="A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26.2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3.9" customHeight="1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ht="1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</sheetData>
  <mergeCells count="35">
    <mergeCell ref="A10:I10"/>
    <mergeCell ref="F13:I13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20:O20"/>
    <mergeCell ref="F14:I14"/>
    <mergeCell ref="A16:I16"/>
    <mergeCell ref="F17:I17"/>
    <mergeCell ref="L21:M21"/>
    <mergeCell ref="A24:B24"/>
    <mergeCell ref="C24:E24"/>
    <mergeCell ref="C23:E23"/>
    <mergeCell ref="F21:G21"/>
    <mergeCell ref="F18:I18"/>
    <mergeCell ref="H21:I21"/>
    <mergeCell ref="J21:K21"/>
    <mergeCell ref="A21:B21"/>
    <mergeCell ref="C21:E21"/>
    <mergeCell ref="A18:E18"/>
    <mergeCell ref="L25:M25"/>
    <mergeCell ref="A22:B22"/>
    <mergeCell ref="A23:B23"/>
    <mergeCell ref="A25:B25"/>
    <mergeCell ref="C25:E25"/>
    <mergeCell ref="L24:M24"/>
    <mergeCell ref="L23:M23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30"/>
  <sheetViews>
    <sheetView topLeftCell="C1" zoomScale="90" zoomScaleNormal="90" workbookViewId="0">
      <pane ySplit="1" topLeftCell="A112" activePane="bottomLeft" state="frozen"/>
      <selection activeCell="C1" sqref="C1"/>
      <selection pane="bottomLeft" activeCell="J133" sqref="J133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2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23</v>
      </c>
      <c r="G1" s="1" t="s">
        <v>22</v>
      </c>
      <c r="H1" s="1" t="s">
        <v>25</v>
      </c>
      <c r="I1" s="1" t="s">
        <v>24</v>
      </c>
      <c r="J1" s="20" t="s">
        <v>30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21">
        <f>D2-C2-F2-E2-G2-H2-I2</f>
        <v>-35</v>
      </c>
      <c r="L2" s="5">
        <f>COUNTA(A:A)-1</f>
        <v>129</v>
      </c>
      <c r="M2" s="5">
        <f>COUNTIF(D:D,"&gt;0")</f>
        <v>22</v>
      </c>
      <c r="N2" s="5">
        <f>COUNTIF(D:D,"0")</f>
        <v>107</v>
      </c>
    </row>
    <row r="3" spans="1:15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1">
        <f t="shared" ref="J3:J66" si="0">D3-C3-F3-E3-G3-H3-I3</f>
        <v>-35</v>
      </c>
    </row>
    <row r="4" spans="1:15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1">
        <f t="shared" si="0"/>
        <v>-35</v>
      </c>
    </row>
    <row r="5" spans="1:15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21">
        <f t="shared" si="0"/>
        <v>18.47</v>
      </c>
    </row>
    <row r="6" spans="1:15" ht="15.75" x14ac:dyDescent="0.25">
      <c r="A6" s="2">
        <f t="shared" ref="A6:A69" si="1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21">
        <f t="shared" si="0"/>
        <v>-35</v>
      </c>
    </row>
    <row r="7" spans="1:15" ht="15.75" x14ac:dyDescent="0.25">
      <c r="A7" s="2">
        <f t="shared" si="1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21">
        <f t="shared" si="0"/>
        <v>-35</v>
      </c>
    </row>
    <row r="8" spans="1:15" ht="15.75" x14ac:dyDescent="0.25">
      <c r="A8" s="2">
        <f t="shared" si="1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21">
        <f t="shared" si="0"/>
        <v>-35</v>
      </c>
    </row>
    <row r="9" spans="1:15" ht="15.75" x14ac:dyDescent="0.25">
      <c r="A9" s="2">
        <f t="shared" si="1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21">
        <f t="shared" si="0"/>
        <v>-35</v>
      </c>
    </row>
    <row r="10" spans="1:15" ht="15.75" x14ac:dyDescent="0.25">
      <c r="A10" s="2">
        <f t="shared" si="1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21">
        <f t="shared" si="0"/>
        <v>-35</v>
      </c>
    </row>
    <row r="11" spans="1:15" ht="15.75" x14ac:dyDescent="0.25">
      <c r="A11" s="2">
        <f t="shared" si="1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21">
        <f t="shared" si="0"/>
        <v>-35</v>
      </c>
    </row>
    <row r="12" spans="1:15" ht="15.75" x14ac:dyDescent="0.25">
      <c r="A12" s="2">
        <f t="shared" si="1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21">
        <f t="shared" si="0"/>
        <v>-35</v>
      </c>
    </row>
    <row r="13" spans="1:15" ht="15.75" x14ac:dyDescent="0.25">
      <c r="A13" s="2">
        <f t="shared" si="1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21">
        <f t="shared" si="0"/>
        <v>-35</v>
      </c>
    </row>
    <row r="14" spans="1:15" ht="15.75" x14ac:dyDescent="0.25">
      <c r="A14" s="2">
        <f t="shared" si="1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21">
        <f t="shared" si="0"/>
        <v>-35</v>
      </c>
    </row>
    <row r="15" spans="1:15" ht="15.75" x14ac:dyDescent="0.25">
      <c r="A15" s="2">
        <f t="shared" si="1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21">
        <f t="shared" si="0"/>
        <v>-35</v>
      </c>
    </row>
    <row r="16" spans="1:15" ht="15.75" x14ac:dyDescent="0.25">
      <c r="A16" s="2">
        <f t="shared" si="1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21">
        <f t="shared" si="0"/>
        <v>-35</v>
      </c>
    </row>
    <row r="17" spans="1:10" ht="15.75" x14ac:dyDescent="0.25">
      <c r="A17" s="2">
        <f t="shared" si="1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21">
        <f t="shared" si="0"/>
        <v>865.02000000000021</v>
      </c>
    </row>
    <row r="18" spans="1:10" ht="15.75" x14ac:dyDescent="0.25">
      <c r="A18" s="2">
        <f t="shared" si="1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21">
        <f t="shared" si="0"/>
        <v>-42</v>
      </c>
    </row>
    <row r="19" spans="1:10" ht="15.75" x14ac:dyDescent="0.25">
      <c r="A19" s="2">
        <f t="shared" si="1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21">
        <f t="shared" si="0"/>
        <v>-70</v>
      </c>
    </row>
    <row r="20" spans="1:10" ht="15.75" x14ac:dyDescent="0.25">
      <c r="A20" s="2">
        <f t="shared" si="1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21">
        <f t="shared" si="0"/>
        <v>-56</v>
      </c>
    </row>
    <row r="21" spans="1:10" ht="15.75" x14ac:dyDescent="0.25">
      <c r="A21" s="2">
        <f t="shared" si="1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21">
        <f t="shared" si="0"/>
        <v>146.12</v>
      </c>
    </row>
    <row r="22" spans="1:10" ht="15.75" x14ac:dyDescent="0.25">
      <c r="A22" s="2">
        <f t="shared" si="1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21">
        <f t="shared" si="0"/>
        <v>-56</v>
      </c>
    </row>
    <row r="23" spans="1:10" ht="15.75" x14ac:dyDescent="0.25">
      <c r="A23" s="2">
        <f t="shared" si="1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21">
        <f t="shared" si="0"/>
        <v>-56</v>
      </c>
    </row>
    <row r="24" spans="1:10" ht="15.75" x14ac:dyDescent="0.25">
      <c r="A24" s="2">
        <f t="shared" si="1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21">
        <f t="shared" si="0"/>
        <v>-56</v>
      </c>
    </row>
    <row r="25" spans="1:10" ht="15.75" x14ac:dyDescent="0.25">
      <c r="A25" s="2">
        <f t="shared" si="1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21">
        <f t="shared" si="0"/>
        <v>-56</v>
      </c>
    </row>
    <row r="26" spans="1:10" ht="15.75" x14ac:dyDescent="0.25">
      <c r="A26" s="2">
        <f t="shared" si="1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21">
        <f t="shared" si="0"/>
        <v>-56</v>
      </c>
    </row>
    <row r="27" spans="1:10" ht="15.75" x14ac:dyDescent="0.25">
      <c r="A27" s="2">
        <f t="shared" si="1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21">
        <f t="shared" si="0"/>
        <v>-56</v>
      </c>
    </row>
    <row r="28" spans="1:10" ht="15.75" x14ac:dyDescent="0.25">
      <c r="A28" s="2">
        <f t="shared" si="1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21">
        <f t="shared" si="0"/>
        <v>-56</v>
      </c>
    </row>
    <row r="29" spans="1:10" ht="15.75" x14ac:dyDescent="0.25">
      <c r="A29" s="2">
        <f t="shared" si="1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21">
        <f t="shared" si="0"/>
        <v>-56</v>
      </c>
    </row>
    <row r="30" spans="1:10" ht="15.75" x14ac:dyDescent="0.25">
      <c r="A30" s="2">
        <f t="shared" si="1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21">
        <f t="shared" si="0"/>
        <v>12.829999999999997</v>
      </c>
    </row>
    <row r="31" spans="1:10" ht="15.75" x14ac:dyDescent="0.25">
      <c r="A31" s="2">
        <f t="shared" si="1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21">
        <f t="shared" si="0"/>
        <v>-56</v>
      </c>
    </row>
    <row r="32" spans="1:10" ht="15.75" x14ac:dyDescent="0.25">
      <c r="A32" s="2">
        <f t="shared" si="1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21">
        <f t="shared" si="0"/>
        <v>-56</v>
      </c>
    </row>
    <row r="33" spans="1:10" ht="15.75" x14ac:dyDescent="0.25">
      <c r="A33" s="2">
        <f t="shared" si="1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21">
        <f t="shared" si="0"/>
        <v>-56</v>
      </c>
    </row>
    <row r="34" spans="1:10" ht="15.75" x14ac:dyDescent="0.25">
      <c r="A34" s="2">
        <f t="shared" si="1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21">
        <f t="shared" si="0"/>
        <v>-56</v>
      </c>
    </row>
    <row r="35" spans="1:10" ht="15.75" x14ac:dyDescent="0.25">
      <c r="A35" s="2">
        <f t="shared" si="1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21">
        <f t="shared" si="0"/>
        <v>-7.7299999999999969</v>
      </c>
    </row>
    <row r="36" spans="1:10" ht="15.75" x14ac:dyDescent="0.25">
      <c r="A36" s="2">
        <f t="shared" si="1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21">
        <f t="shared" si="0"/>
        <v>5.1599999999999975</v>
      </c>
    </row>
    <row r="37" spans="1:10" ht="15.75" x14ac:dyDescent="0.25">
      <c r="A37" s="2">
        <f t="shared" si="1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21">
        <f t="shared" si="0"/>
        <v>-56</v>
      </c>
    </row>
    <row r="38" spans="1:10" ht="15.75" x14ac:dyDescent="0.25">
      <c r="A38" s="2">
        <f t="shared" si="1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21">
        <f t="shared" si="0"/>
        <v>-56</v>
      </c>
    </row>
    <row r="39" spans="1:10" ht="15.75" x14ac:dyDescent="0.25">
      <c r="A39" s="2">
        <f t="shared" si="1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21">
        <f t="shared" si="0"/>
        <v>-56</v>
      </c>
    </row>
    <row r="40" spans="1:10" ht="15.75" x14ac:dyDescent="0.25">
      <c r="A40" s="2">
        <f t="shared" si="1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21">
        <f t="shared" si="0"/>
        <v>1259.99</v>
      </c>
    </row>
    <row r="41" spans="1:10" ht="15.75" x14ac:dyDescent="0.25">
      <c r="A41" s="2">
        <f t="shared" si="1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21">
        <f t="shared" si="0"/>
        <v>-100.1</v>
      </c>
    </row>
    <row r="42" spans="1:10" ht="15.75" x14ac:dyDescent="0.25">
      <c r="A42" s="2">
        <f t="shared" si="1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21">
        <f t="shared" si="0"/>
        <v>-100.1</v>
      </c>
    </row>
    <row r="43" spans="1:10" ht="15.75" x14ac:dyDescent="0.25">
      <c r="A43" s="2">
        <f t="shared" si="1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21">
        <f t="shared" si="0"/>
        <v>-100.1</v>
      </c>
    </row>
    <row r="44" spans="1:10" ht="15.75" x14ac:dyDescent="0.25">
      <c r="A44" s="2">
        <f t="shared" si="1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21">
        <f t="shared" si="0"/>
        <v>-100.1</v>
      </c>
    </row>
    <row r="45" spans="1:10" ht="15.75" x14ac:dyDescent="0.25">
      <c r="A45" s="2">
        <f t="shared" si="1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21">
        <f t="shared" si="0"/>
        <v>-100.1</v>
      </c>
    </row>
    <row r="46" spans="1:10" ht="15.75" x14ac:dyDescent="0.25">
      <c r="A46" s="2">
        <f t="shared" si="1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21">
        <f t="shared" si="0"/>
        <v>-100.1</v>
      </c>
    </row>
    <row r="47" spans="1:10" ht="15.75" x14ac:dyDescent="0.25">
      <c r="A47" s="2">
        <f t="shared" si="1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21">
        <f t="shared" si="0"/>
        <v>-100.1</v>
      </c>
    </row>
    <row r="48" spans="1:10" ht="15.75" x14ac:dyDescent="0.25">
      <c r="A48" s="2">
        <f t="shared" si="1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21">
        <f t="shared" si="0"/>
        <v>37.53</v>
      </c>
    </row>
    <row r="49" spans="1:10" ht="15.75" x14ac:dyDescent="0.25">
      <c r="A49" s="2">
        <f t="shared" si="1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21">
        <f t="shared" si="0"/>
        <v>-6.4599999999999964</v>
      </c>
    </row>
    <row r="50" spans="1:10" ht="15.75" x14ac:dyDescent="0.25">
      <c r="A50" s="2">
        <f t="shared" si="1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21">
        <f t="shared" si="0"/>
        <v>-100.1</v>
      </c>
    </row>
    <row r="51" spans="1:10" ht="15.75" x14ac:dyDescent="0.25">
      <c r="A51" s="2">
        <f t="shared" si="1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21">
        <f t="shared" si="0"/>
        <v>-100.1</v>
      </c>
    </row>
    <row r="52" spans="1:10" ht="15.75" x14ac:dyDescent="0.25">
      <c r="A52" s="2">
        <f t="shared" si="1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21">
        <f t="shared" si="0"/>
        <v>-100.1</v>
      </c>
    </row>
    <row r="53" spans="1:10" ht="15.75" x14ac:dyDescent="0.25">
      <c r="A53" s="2">
        <f t="shared" si="1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21">
        <f t="shared" si="0"/>
        <v>463.87</v>
      </c>
    </row>
    <row r="54" spans="1:10" ht="15.75" x14ac:dyDescent="0.25">
      <c r="A54" s="2">
        <f t="shared" si="1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21">
        <f t="shared" si="0"/>
        <v>-100.1</v>
      </c>
    </row>
    <row r="55" spans="1:10" ht="15.75" x14ac:dyDescent="0.25">
      <c r="A55" s="2">
        <f t="shared" si="1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21">
        <f t="shared" si="0"/>
        <v>-100.1</v>
      </c>
    </row>
    <row r="56" spans="1:10" ht="15.75" x14ac:dyDescent="0.25">
      <c r="A56" s="2">
        <f t="shared" si="1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21">
        <f t="shared" si="0"/>
        <v>-100.1</v>
      </c>
    </row>
    <row r="57" spans="1:10" ht="15.75" x14ac:dyDescent="0.25">
      <c r="A57" s="2">
        <f t="shared" si="1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21">
        <f t="shared" si="0"/>
        <v>1498.0199999999998</v>
      </c>
    </row>
    <row r="58" spans="1:10" ht="15.75" x14ac:dyDescent="0.25">
      <c r="A58" s="2">
        <f t="shared" si="1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21">
        <f t="shared" si="0"/>
        <v>-2.3099999999999845</v>
      </c>
    </row>
    <row r="59" spans="1:10" ht="15.75" x14ac:dyDescent="0.25">
      <c r="A59" s="2">
        <f t="shared" si="1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21">
        <f t="shared" si="0"/>
        <v>-100.1</v>
      </c>
    </row>
    <row r="60" spans="1:10" ht="15.75" x14ac:dyDescent="0.25">
      <c r="A60" s="2">
        <f t="shared" si="1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21">
        <f t="shared" si="0"/>
        <v>-100.1</v>
      </c>
    </row>
    <row r="61" spans="1:10" ht="15.75" x14ac:dyDescent="0.25">
      <c r="A61" s="2">
        <f t="shared" si="1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21">
        <f t="shared" si="0"/>
        <v>-100.1</v>
      </c>
    </row>
    <row r="62" spans="1:10" ht="15.75" x14ac:dyDescent="0.25">
      <c r="A62" s="2">
        <f t="shared" si="1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21">
        <f t="shared" si="0"/>
        <v>-100.1</v>
      </c>
    </row>
    <row r="63" spans="1:10" ht="15.75" x14ac:dyDescent="0.25">
      <c r="A63" s="2">
        <f t="shared" si="1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21">
        <f t="shared" si="0"/>
        <v>398.18000000000018</v>
      </c>
    </row>
    <row r="64" spans="1:10" ht="15.75" x14ac:dyDescent="0.25">
      <c r="A64" s="2">
        <f t="shared" si="1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21">
        <f t="shared" si="0"/>
        <v>-100.1</v>
      </c>
    </row>
    <row r="65" spans="1:10" ht="15.75" x14ac:dyDescent="0.25">
      <c r="A65" s="2">
        <f t="shared" si="1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21">
        <f t="shared" si="0"/>
        <v>-100.1</v>
      </c>
    </row>
    <row r="66" spans="1:10" ht="15.75" x14ac:dyDescent="0.25">
      <c r="A66" s="2">
        <f t="shared" si="1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21">
        <f t="shared" si="0"/>
        <v>-100.1</v>
      </c>
    </row>
    <row r="67" spans="1:10" ht="15.75" x14ac:dyDescent="0.25">
      <c r="A67" s="2">
        <f t="shared" si="1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21">
        <f t="shared" ref="J67:J130" si="2">D67-C67-F67-E67-G67-H67-I67</f>
        <v>-100.1</v>
      </c>
    </row>
    <row r="68" spans="1:10" ht="15.75" x14ac:dyDescent="0.25">
      <c r="A68" s="2">
        <f t="shared" si="1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21">
        <f t="shared" si="2"/>
        <v>-100.1</v>
      </c>
    </row>
    <row r="69" spans="1:10" ht="15.75" x14ac:dyDescent="0.25">
      <c r="A69" s="2">
        <f t="shared" si="1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21">
        <f t="shared" si="2"/>
        <v>-100.1</v>
      </c>
    </row>
    <row r="70" spans="1:10" ht="15.75" x14ac:dyDescent="0.25">
      <c r="A70" s="2">
        <f t="shared" ref="A70:A72" si="3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21">
        <f t="shared" si="2"/>
        <v>-100.1</v>
      </c>
    </row>
    <row r="71" spans="1:10" ht="15.75" x14ac:dyDescent="0.25">
      <c r="A71" s="2">
        <f t="shared" si="3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21">
        <f t="shared" si="2"/>
        <v>-100.1</v>
      </c>
    </row>
    <row r="72" spans="1:10" ht="15.75" x14ac:dyDescent="0.25">
      <c r="A72" s="2">
        <f t="shared" si="3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21">
        <f t="shared" si="2"/>
        <v>-100.1</v>
      </c>
    </row>
    <row r="73" spans="1:10" ht="15.75" x14ac:dyDescent="0.25">
      <c r="A73" s="2">
        <f t="shared" ref="A73:A75" si="4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21">
        <f t="shared" si="2"/>
        <v>-100.1</v>
      </c>
    </row>
    <row r="74" spans="1:10" ht="15.75" x14ac:dyDescent="0.25">
      <c r="A74" s="2">
        <f t="shared" si="4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21">
        <f t="shared" si="2"/>
        <v>-100.1</v>
      </c>
    </row>
    <row r="75" spans="1:10" ht="15.75" x14ac:dyDescent="0.25">
      <c r="A75" s="2">
        <f t="shared" si="4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21">
        <f t="shared" si="2"/>
        <v>457.14999999999981</v>
      </c>
    </row>
    <row r="76" spans="1:10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21">
        <f t="shared" si="2"/>
        <v>-100.1</v>
      </c>
    </row>
    <row r="77" spans="1:10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21">
        <f t="shared" si="2"/>
        <v>-100.1</v>
      </c>
    </row>
    <row r="78" spans="1:10" ht="15.75" x14ac:dyDescent="0.25">
      <c r="A78" s="2">
        <f t="shared" ref="A78:A82" si="5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21">
        <f t="shared" si="2"/>
        <v>16.699999999999982</v>
      </c>
    </row>
    <row r="79" spans="1:10" ht="15.75" x14ac:dyDescent="0.25">
      <c r="A79" s="2">
        <f t="shared" si="5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21">
        <f t="shared" si="2"/>
        <v>-69.299999999999983</v>
      </c>
    </row>
    <row r="80" spans="1:10" ht="15.75" x14ac:dyDescent="0.25">
      <c r="A80" s="2">
        <f t="shared" si="5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21">
        <f t="shared" si="2"/>
        <v>-100.1</v>
      </c>
    </row>
    <row r="81" spans="1:10" ht="15.75" x14ac:dyDescent="0.25">
      <c r="A81" s="2">
        <f t="shared" si="5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21">
        <f t="shared" si="2"/>
        <v>-100.1</v>
      </c>
    </row>
    <row r="82" spans="1:10" ht="15.75" x14ac:dyDescent="0.25">
      <c r="A82" s="2">
        <f t="shared" si="5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21">
        <f t="shared" si="2"/>
        <v>-100.1</v>
      </c>
    </row>
    <row r="83" spans="1:10" ht="15.75" x14ac:dyDescent="0.25">
      <c r="A83" s="2">
        <f t="shared" ref="A83:A88" si="6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21">
        <f t="shared" si="2"/>
        <v>-100.1</v>
      </c>
    </row>
    <row r="84" spans="1:10" ht="15.75" x14ac:dyDescent="0.25">
      <c r="A84" s="2">
        <f t="shared" si="6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21">
        <f t="shared" si="2"/>
        <v>540.99</v>
      </c>
    </row>
    <row r="85" spans="1:10" ht="15.75" x14ac:dyDescent="0.25">
      <c r="A85" s="2">
        <f t="shared" si="6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21">
        <f t="shared" si="2"/>
        <v>-100.1</v>
      </c>
    </row>
    <row r="86" spans="1:10" ht="15.75" x14ac:dyDescent="0.25">
      <c r="A86" s="2">
        <f t="shared" si="6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21">
        <f t="shared" si="2"/>
        <v>-100.1</v>
      </c>
    </row>
    <row r="87" spans="1:10" ht="15.75" x14ac:dyDescent="0.25">
      <c r="A87" s="2">
        <f t="shared" si="6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21">
        <f t="shared" si="2"/>
        <v>-100.1</v>
      </c>
    </row>
    <row r="88" spans="1:10" ht="15.75" x14ac:dyDescent="0.25">
      <c r="A88" s="2">
        <f t="shared" si="6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21">
        <f t="shared" si="2"/>
        <v>-100.1</v>
      </c>
    </row>
    <row r="89" spans="1:10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21">
        <f t="shared" si="2"/>
        <v>-100.1</v>
      </c>
    </row>
    <row r="90" spans="1:10" ht="15.75" x14ac:dyDescent="0.25">
      <c r="A90" s="2">
        <f t="shared" ref="A90:A94" si="7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21">
        <f t="shared" si="2"/>
        <v>-100.1</v>
      </c>
    </row>
    <row r="91" spans="1:10" ht="15.75" x14ac:dyDescent="0.25">
      <c r="A91" s="2">
        <f t="shared" si="7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21">
        <f t="shared" si="2"/>
        <v>-100.1</v>
      </c>
    </row>
    <row r="92" spans="1:10" ht="15.75" x14ac:dyDescent="0.25">
      <c r="A92" s="2">
        <f t="shared" si="7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21">
        <f t="shared" si="2"/>
        <v>-100.1</v>
      </c>
    </row>
    <row r="93" spans="1:10" ht="15.75" x14ac:dyDescent="0.25">
      <c r="A93" s="2">
        <f t="shared" si="7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21">
        <f t="shared" si="2"/>
        <v>-100.1</v>
      </c>
    </row>
    <row r="94" spans="1:10" ht="15.75" x14ac:dyDescent="0.25">
      <c r="A94" s="2">
        <f t="shared" si="7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21">
        <f t="shared" si="2"/>
        <v>-100.1</v>
      </c>
    </row>
    <row r="95" spans="1:10" ht="15.75" x14ac:dyDescent="0.25">
      <c r="A95" s="2">
        <f t="shared" ref="A95:A100" si="8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21">
        <f t="shared" si="2"/>
        <v>-100.1</v>
      </c>
    </row>
    <row r="96" spans="1:10" ht="15.75" x14ac:dyDescent="0.25">
      <c r="A96" s="2">
        <f t="shared" si="8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21">
        <f t="shared" si="2"/>
        <v>-100.1</v>
      </c>
    </row>
    <row r="97" spans="1:10" ht="15.75" x14ac:dyDescent="0.25">
      <c r="A97" s="2">
        <f t="shared" si="8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21">
        <f t="shared" si="2"/>
        <v>-100.1</v>
      </c>
    </row>
    <row r="98" spans="1:10" ht="15.75" x14ac:dyDescent="0.25">
      <c r="A98" s="2">
        <f t="shared" si="8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21">
        <f t="shared" si="2"/>
        <v>-100.1</v>
      </c>
    </row>
    <row r="99" spans="1:10" ht="15.75" x14ac:dyDescent="0.25">
      <c r="A99" s="2">
        <f t="shared" si="8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21">
        <f t="shared" si="2"/>
        <v>-100.1</v>
      </c>
    </row>
    <row r="100" spans="1:10" ht="15.75" x14ac:dyDescent="0.25">
      <c r="A100" s="2">
        <f t="shared" si="8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21">
        <f t="shared" si="2"/>
        <v>-100.1</v>
      </c>
    </row>
    <row r="101" spans="1:10" ht="15.75" x14ac:dyDescent="0.25">
      <c r="A101" s="2">
        <f t="shared" ref="A101:A106" si="9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21">
        <f t="shared" si="2"/>
        <v>-37.059999999999988</v>
      </c>
    </row>
    <row r="102" spans="1:10" ht="15.75" x14ac:dyDescent="0.25">
      <c r="A102" s="2">
        <f t="shared" si="9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21">
        <f t="shared" si="2"/>
        <v>-100.1</v>
      </c>
    </row>
    <row r="103" spans="1:10" ht="15.75" x14ac:dyDescent="0.25">
      <c r="A103" s="2">
        <f t="shared" si="9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21">
        <f t="shared" si="2"/>
        <v>-100.1</v>
      </c>
    </row>
    <row r="104" spans="1:10" ht="15.75" x14ac:dyDescent="0.25">
      <c r="A104" s="2">
        <f t="shared" si="9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21">
        <f t="shared" si="2"/>
        <v>-100.1</v>
      </c>
    </row>
    <row r="105" spans="1:10" ht="15.75" x14ac:dyDescent="0.25">
      <c r="A105" s="2">
        <f t="shared" si="9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21">
        <f t="shared" si="2"/>
        <v>-100.1</v>
      </c>
    </row>
    <row r="106" spans="1:10" ht="15.75" x14ac:dyDescent="0.25">
      <c r="A106" s="2">
        <f t="shared" si="9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21">
        <f t="shared" si="2"/>
        <v>-100.1</v>
      </c>
    </row>
    <row r="107" spans="1:10" ht="15.75" x14ac:dyDescent="0.25">
      <c r="A107" s="2">
        <f t="shared" ref="A107:A112" si="10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21">
        <f t="shared" si="2"/>
        <v>-100.1</v>
      </c>
    </row>
    <row r="108" spans="1:10" ht="15.75" x14ac:dyDescent="0.25">
      <c r="A108" s="2">
        <f t="shared" si="10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21">
        <f t="shared" si="2"/>
        <v>-100.1</v>
      </c>
    </row>
    <row r="109" spans="1:10" ht="15.75" x14ac:dyDescent="0.25">
      <c r="A109" s="2">
        <f t="shared" si="10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21">
        <f t="shared" si="2"/>
        <v>-100.1</v>
      </c>
    </row>
    <row r="110" spans="1:10" ht="15.75" x14ac:dyDescent="0.25">
      <c r="A110" s="2">
        <f t="shared" si="10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21">
        <f t="shared" si="2"/>
        <v>-36.299999999999997</v>
      </c>
    </row>
    <row r="111" spans="1:10" ht="15.75" x14ac:dyDescent="0.25">
      <c r="A111" s="2">
        <f t="shared" si="10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21">
        <f t="shared" si="2"/>
        <v>-100.1</v>
      </c>
    </row>
    <row r="112" spans="1:10" ht="15.75" x14ac:dyDescent="0.25">
      <c r="A112" s="2">
        <f t="shared" si="10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21">
        <f t="shared" si="2"/>
        <v>-48.800000000000004</v>
      </c>
    </row>
    <row r="113" spans="1:10" ht="15.75" x14ac:dyDescent="0.25">
      <c r="A113" s="2">
        <f t="shared" ref="A113:A118" si="11"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21">
        <f>D113-C113-F113-E113-G113-H113-I113</f>
        <v>3519.2</v>
      </c>
    </row>
    <row r="114" spans="1:10" ht="15.75" x14ac:dyDescent="0.25">
      <c r="A114" s="2">
        <f t="shared" si="11"/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21">
        <f t="shared" si="2"/>
        <v>-100.1</v>
      </c>
    </row>
    <row r="115" spans="1:10" ht="15.75" x14ac:dyDescent="0.25">
      <c r="A115" s="2">
        <f t="shared" si="11"/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21">
        <f t="shared" si="2"/>
        <v>-100.1</v>
      </c>
    </row>
    <row r="116" spans="1:10" ht="15.75" x14ac:dyDescent="0.25">
      <c r="A116" s="2">
        <f t="shared" si="11"/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21">
        <f t="shared" si="2"/>
        <v>-100.1</v>
      </c>
    </row>
    <row r="117" spans="1:10" ht="15.75" x14ac:dyDescent="0.25">
      <c r="A117" s="2">
        <f t="shared" si="11"/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21">
        <f t="shared" si="2"/>
        <v>-100.1</v>
      </c>
    </row>
    <row r="118" spans="1:10" ht="15.75" x14ac:dyDescent="0.25">
      <c r="A118" s="2">
        <f t="shared" si="11"/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21">
        <f t="shared" si="2"/>
        <v>-100.1</v>
      </c>
    </row>
    <row r="119" spans="1:10" ht="15.75" x14ac:dyDescent="0.25">
      <c r="A119" s="2">
        <f t="shared" ref="A119:A124" si="12">A118+1</f>
        <v>118</v>
      </c>
      <c r="B119" s="3">
        <v>45807</v>
      </c>
      <c r="C119" s="4">
        <v>100.1</v>
      </c>
      <c r="D119" s="4">
        <v>231.08</v>
      </c>
      <c r="E119" s="4">
        <v>0</v>
      </c>
      <c r="F119" s="4">
        <v>23.11</v>
      </c>
      <c r="G119" s="4">
        <v>23.11</v>
      </c>
      <c r="H119" s="4">
        <v>11.55</v>
      </c>
      <c r="I119" s="4">
        <v>34.659999999999997</v>
      </c>
      <c r="J119" s="21">
        <f t="shared" si="2"/>
        <v>38.550000000000026</v>
      </c>
    </row>
    <row r="120" spans="1:10" ht="15.75" x14ac:dyDescent="0.25">
      <c r="A120" s="2">
        <f t="shared" si="12"/>
        <v>119</v>
      </c>
      <c r="B120" s="3">
        <v>45814</v>
      </c>
      <c r="C120" s="4">
        <v>100.1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21">
        <f t="shared" si="2"/>
        <v>-100.1</v>
      </c>
    </row>
    <row r="121" spans="1:10" ht="15.75" x14ac:dyDescent="0.25">
      <c r="A121" s="2">
        <f t="shared" si="12"/>
        <v>120</v>
      </c>
      <c r="B121" s="3">
        <v>45821</v>
      </c>
      <c r="C121" s="4">
        <v>100.1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21">
        <f t="shared" si="2"/>
        <v>-100.1</v>
      </c>
    </row>
    <row r="122" spans="1:10" ht="15.75" x14ac:dyDescent="0.25">
      <c r="A122" s="2">
        <f t="shared" si="12"/>
        <v>121</v>
      </c>
      <c r="B122" s="3">
        <v>45828</v>
      </c>
      <c r="C122" s="4">
        <v>100.1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21">
        <f t="shared" si="2"/>
        <v>-100.1</v>
      </c>
    </row>
    <row r="123" spans="1:10" ht="15.75" x14ac:dyDescent="0.25">
      <c r="A123" s="2">
        <f t="shared" si="12"/>
        <v>122</v>
      </c>
      <c r="B123" s="3">
        <v>45835</v>
      </c>
      <c r="C123" s="4">
        <v>100.1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21">
        <f t="shared" si="2"/>
        <v>-100.1</v>
      </c>
    </row>
    <row r="124" spans="1:10" ht="15.75" x14ac:dyDescent="0.25">
      <c r="A124" s="2">
        <f t="shared" si="12"/>
        <v>123</v>
      </c>
      <c r="B124" s="3">
        <v>45842</v>
      </c>
      <c r="C124" s="4">
        <v>100.1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21">
        <f t="shared" si="2"/>
        <v>-100.1</v>
      </c>
    </row>
    <row r="125" spans="1:10" ht="15.75" x14ac:dyDescent="0.25">
      <c r="A125" s="2">
        <f>A124+1</f>
        <v>124</v>
      </c>
      <c r="B125" s="3">
        <v>45849</v>
      </c>
      <c r="C125" s="4">
        <v>100.1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21">
        <f t="shared" si="2"/>
        <v>-100.1</v>
      </c>
    </row>
    <row r="126" spans="1:10" ht="15.75" x14ac:dyDescent="0.25">
      <c r="A126" s="2">
        <f>A125+1</f>
        <v>125</v>
      </c>
      <c r="B126" s="3">
        <v>45856</v>
      </c>
      <c r="C126" s="4">
        <v>100.1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21">
        <f t="shared" si="2"/>
        <v>-100.1</v>
      </c>
    </row>
    <row r="127" spans="1:10" ht="15.75" x14ac:dyDescent="0.25">
      <c r="A127" s="2">
        <f>A126+1</f>
        <v>126</v>
      </c>
      <c r="B127" s="3">
        <v>45863</v>
      </c>
      <c r="C127" s="4">
        <v>100.1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21">
        <f t="shared" si="2"/>
        <v>-100.1</v>
      </c>
    </row>
    <row r="128" spans="1:10" ht="15.75" x14ac:dyDescent="0.25">
      <c r="A128" s="2">
        <f>A127+1</f>
        <v>127</v>
      </c>
      <c r="B128" s="3">
        <v>45870</v>
      </c>
      <c r="C128" s="4">
        <v>100.1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21">
        <f t="shared" si="2"/>
        <v>-100.1</v>
      </c>
    </row>
    <row r="129" spans="1:10" ht="15.75" x14ac:dyDescent="0.25">
      <c r="A129" s="2">
        <f>A128+1</f>
        <v>128</v>
      </c>
      <c r="B129" s="3">
        <v>45877</v>
      </c>
      <c r="C129" s="4">
        <v>100.1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21">
        <f t="shared" si="2"/>
        <v>-100.1</v>
      </c>
    </row>
    <row r="130" spans="1:10" ht="15.75" x14ac:dyDescent="0.25">
      <c r="A130" s="2">
        <f>A129+1</f>
        <v>129</v>
      </c>
      <c r="B130" s="3">
        <v>45884</v>
      </c>
      <c r="C130" s="4">
        <v>100.1</v>
      </c>
      <c r="D130" s="4">
        <v>0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  <c r="J130" s="21">
        <f t="shared" si="2"/>
        <v>-100.1</v>
      </c>
    </row>
  </sheetData>
  <autoFilter ref="J1:J122" xr:uid="{D1BCF058-FE04-46AA-A705-935E602EA711}"/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2025-08-19T19:31:01Z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