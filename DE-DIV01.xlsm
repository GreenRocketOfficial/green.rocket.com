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" documentId="13_ncr:1_{32BD3745-769A-4363-92E4-3EACA8D86657}" xr6:coauthVersionLast="47" xr6:coauthVersionMax="47" xr10:uidLastSave="{63F723D0-BF8C-4578-989B-469E49E1732F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1" i="11" l="1"/>
  <c r="J111" i="11"/>
  <c r="K111" i="11"/>
  <c r="L111" i="11" s="1"/>
  <c r="L5" i="11"/>
  <c r="K5" i="11"/>
  <c r="J5" i="11"/>
  <c r="J27" i="12"/>
  <c r="L27" i="12" s="1"/>
  <c r="J26" i="12"/>
  <c r="L26" i="12" s="1"/>
  <c r="J25" i="12"/>
  <c r="L25" i="12" s="1"/>
  <c r="J24" i="12"/>
  <c r="L24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<sst xmlns="http://schemas.openxmlformats.org/spreadsheetml/2006/main" count="50" uniqueCount="40">
  <si>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</si>
  <si>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</si>
  <si>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</si>
  <si>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</si>
  <si>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</si>
  <si>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</si>
  <si>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</si>
  <si>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</si>
  <si>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</si>
  <si>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</si>
  <si>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</si>
  <si>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</si>
  <si>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</si>
  <si>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</si>
  <si>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</si>
  <si>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</si>
  <si>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</si>
  <si>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</si>
  <si>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</si>
  <si>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</si>
  <si>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</si>
  <si>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</si>
  <si>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</si>
  <si>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</si>
  <si>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</si>
  <si>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</si>
  <si>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+ 0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</si>
  <si>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</si>
  <si>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</si>
  <si>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</si>
  <si>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</si>
  <si>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</si>
  <si>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</si>
  <si>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</si>
  <si>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</si>
  <si>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</si>
  <si>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</si>
  <si>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Stand: 10.04.2025</t>
  </si>
  <si>
    <t>+ 2</t>
  </si>
  <si>
    <t xml:space="preserve">+ 2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</si>
</sst>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1" totalsRowShown="0" headerRowDxfId="17" dataDxfId="16">
  <autoFilter ref="A1:L111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N27" sqref="N27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36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37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9" t="s">
        <v>18</v>
      </c>
      <c r="B10" s="29"/>
      <c r="C10" s="29"/>
      <c r="D10" s="29"/>
      <c r="E10" s="29"/>
      <c r="F10" s="29"/>
      <c r="G10" s="29"/>
      <c r="H10" s="29"/>
      <c r="I10" s="2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14</v>
      </c>
      <c r="B11" s="30"/>
      <c r="C11" s="30"/>
      <c r="D11" s="30"/>
      <c r="E11" s="30"/>
      <c r="F11" s="30">
        <f>Finanzen!N2</f>
        <v>110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21</v>
      </c>
      <c r="B12" s="30"/>
      <c r="C12" s="30"/>
      <c r="D12" s="30"/>
      <c r="E12" s="30"/>
      <c r="F12" s="49">
        <f>Finanzen!O2</f>
        <v>19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22</v>
      </c>
      <c r="B13" s="30"/>
      <c r="C13" s="30"/>
      <c r="D13" s="30"/>
      <c r="E13" s="30"/>
      <c r="F13" s="45">
        <f>Finanzen!P2</f>
        <v>91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7</v>
      </c>
      <c r="B14" s="30"/>
      <c r="C14" s="30"/>
      <c r="D14" s="30"/>
      <c r="E14" s="30"/>
      <c r="F14" s="30" t="str">
        <f>TEXT(Finanzen!O2/Finanzen!N2,"0,00%")</f>
        <v>17,27%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9" t="s">
        <v>19</v>
      </c>
      <c r="B16" s="29"/>
      <c r="C16" s="29"/>
      <c r="D16" s="29"/>
      <c r="E16" s="29"/>
      <c r="F16" s="29"/>
      <c r="G16" s="29"/>
      <c r="H16" s="29"/>
      <c r="I16" s="2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11</v>
      </c>
      <c r="B17" s="30"/>
      <c r="C17" s="30"/>
      <c r="D17" s="30"/>
      <c r="E17" s="30"/>
      <c r="F17" s="41">
        <f>SUM(Finanzen!D:D)</f>
        <v>11043.960000000003</v>
      </c>
      <c r="G17" s="41"/>
      <c r="H17" s="41"/>
      <c r="I17" s="41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12</v>
      </c>
      <c r="B18" s="30"/>
      <c r="C18" s="30"/>
      <c r="D18" s="30"/>
      <c r="E18" s="30"/>
      <c r="F18" s="41">
        <f>SUM(Finanzen!C:C)</f>
        <v>8955.1000000000149</v>
      </c>
      <c r="G18" s="41"/>
      <c r="H18" s="41"/>
      <c r="I18" s="41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30" t="s">
        <v>13</v>
      </c>
      <c r="B19" s="30"/>
      <c r="C19" s="30"/>
      <c r="D19" s="30"/>
      <c r="E19" s="30"/>
      <c r="F19" s="41">
        <f>F17-F18</f>
        <v>2088.8599999999878</v>
      </c>
      <c r="G19" s="41"/>
      <c r="H19" s="41"/>
      <c r="I19" s="41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30" t="s">
        <v>23</v>
      </c>
      <c r="B20" s="30"/>
      <c r="C20" s="30"/>
      <c r="D20" s="30"/>
      <c r="E20" s="30"/>
      <c r="F20" s="41">
        <f>20000-F17</f>
        <v>8956.0399999999972</v>
      </c>
      <c r="G20" s="41"/>
      <c r="H20" s="41"/>
      <c r="I20" s="41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9" t="s">
        <v>20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1" t="s">
        <v>17</v>
      </c>
      <c r="B23" s="32"/>
      <c r="C23" s="33" t="s">
        <v>5</v>
      </c>
      <c r="D23" s="34"/>
      <c r="E23" s="35"/>
      <c r="F23" s="25" t="s">
        <v>15</v>
      </c>
      <c r="G23" s="26"/>
      <c r="H23" s="25" t="s">
        <v>32</v>
      </c>
      <c r="I23" s="26"/>
      <c r="J23" s="44" t="s">
        <v>16</v>
      </c>
      <c r="K23" s="26"/>
      <c r="L23" s="44" t="s">
        <v>6</v>
      </c>
      <c r="M23" s="26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0">
        <v>1</v>
      </c>
      <c r="B24" s="21"/>
      <c r="C24" s="22" t="s">
        <v>28</v>
      </c>
      <c r="D24" s="23"/>
      <c r="E24" s="24"/>
      <c r="F24" s="14">
        <v>40</v>
      </c>
      <c r="G24" s="12" t="s">
        <v>38</v>
      </c>
      <c r="H24" s="16">
        <v>93</v>
      </c>
      <c r="I24" s="12" t="s">
        <v>39</v>
      </c>
      <c r="J24" s="16">
        <f>F24+H24</f>
        <v>133</v>
      </c>
      <c r="K24" s="12" t="s">
        <v>25</v>
      </c>
      <c r="L24" s="42" t="str">
        <f>TEXT(F24/J24,"0,00%")</f>
        <v>30,08%</v>
      </c>
      <c r="M24" s="43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0">
        <v>2</v>
      </c>
      <c r="B25" s="21"/>
      <c r="C25" s="22" t="s">
        <v>29</v>
      </c>
      <c r="D25" s="23"/>
      <c r="E25" s="24"/>
      <c r="F25" s="14">
        <v>38</v>
      </c>
      <c r="G25" s="12" t="s">
        <v>27</v>
      </c>
      <c r="H25" s="16">
        <v>91</v>
      </c>
      <c r="I25" s="12" t="s">
        <v>24</v>
      </c>
      <c r="J25" s="16">
        <f>F25+H25</f>
        <v>129</v>
      </c>
      <c r="K25" s="12" t="s">
        <v>25</v>
      </c>
      <c r="L25" s="42" t="str">
        <f>TEXT(F25/J25,"0,00%")</f>
        <v>29,46%</v>
      </c>
      <c r="M25" s="43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0">
        <v>3</v>
      </c>
      <c r="B26" s="21"/>
      <c r="C26" s="22" t="s">
        <v>30</v>
      </c>
      <c r="D26" s="23"/>
      <c r="E26" s="24"/>
      <c r="F26" s="14">
        <v>35</v>
      </c>
      <c r="G26" s="12" t="s">
        <v>24</v>
      </c>
      <c r="H26" s="16">
        <v>94</v>
      </c>
      <c r="I26" s="12" t="s">
        <v>27</v>
      </c>
      <c r="J26" s="16">
        <f>F26+H26</f>
        <v>129</v>
      </c>
      <c r="K26" s="12" t="s">
        <v>25</v>
      </c>
      <c r="L26" s="42" t="str">
        <f>TEXT(F26/J26,"0,00%")</f>
        <v>27,13%</v>
      </c>
      <c r="M26" s="43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36">
        <v>4</v>
      </c>
      <c r="B27" s="37"/>
      <c r="C27" s="38" t="s">
        <v>31</v>
      </c>
      <c r="D27" s="39"/>
      <c r="E27" s="40"/>
      <c r="F27" s="15">
        <v>26</v>
      </c>
      <c r="G27" s="13" t="s">
        <v>26</v>
      </c>
      <c r="H27" s="17">
        <v>92</v>
      </c>
      <c r="I27" s="13" t="s">
        <v>25</v>
      </c>
      <c r="J27" s="17">
        <f>F27+H27</f>
        <v>118</v>
      </c>
      <c r="K27" s="13" t="s">
        <v>25</v>
      </c>
      <c r="L27" s="27" t="str">
        <f>TEXT(F27/J27,"0,00%")</f>
        <v>22,03%</v>
      </c>
      <c r="M27" s="28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  <mergeCell ref="A23:B23"/>
    <mergeCell ref="C23:E23"/>
    <mergeCell ref="A19:E19"/>
    <mergeCell ref="A20:E20"/>
    <mergeCell ref="F17:I17"/>
    <mergeCell ref="F18:I18"/>
    <mergeCell ref="A16:I16"/>
    <mergeCell ref="F19:I19"/>
    <mergeCell ref="F20:I20"/>
    <mergeCell ref="H23:I23"/>
    <mergeCell ref="J23:K23"/>
    <mergeCell ref="L23:M23"/>
    <mergeCell ref="A26:B26"/>
    <mergeCell ref="C25:E25"/>
    <mergeCell ref="C26:E26"/>
    <mergeCell ref="F23:G23"/>
    <mergeCell ref="L27:M27"/>
    <mergeCell ref="A24:B24"/>
    <mergeCell ref="A25:B25"/>
    <mergeCell ref="A27:B27"/>
    <mergeCell ref="C27:E27"/>
    <mergeCell ref="L26:M26"/>
    <mergeCell ref="L25:M25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1"/>
  <sheetViews>
    <sheetView zoomScale="90" zoomScaleNormal="90" workbookViewId="0">
      <pane ySplit="1" topLeftCell="A93" activePane="bottomLeft" state="frozen"/>
      <selection pane="bottomLeft" activeCell="A111" sqref="A111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33</v>
      </c>
      <c r="F1" s="1" t="s">
        <v>29</v>
      </c>
      <c r="G1" s="1" t="s">
        <v>28</v>
      </c>
      <c r="H1" s="1" t="s">
        <v>31</v>
      </c>
      <c r="I1" s="1" t="s">
        <v>30</v>
      </c>
      <c r="J1" s="1" t="s">
        <v>34</v>
      </c>
      <c r="K1" s="1" t="s">
        <v>35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110</v>
      </c>
      <c r="O2" s="5">
        <f>COUNTIF(D:D,"&gt;0")</f>
        <v>19</v>
      </c>
      <c r="P2" s="5">
        <f>COUNTIF(D:D,"0")</f>
        <v>91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>D107-C107</f>
        <v>-100.1</v>
      </c>
      <c r="L107" s="4">
        <f>L106+K107</f>
        <v>2382.9300000000017</v>
      </c>
    </row>
    <row r="108" spans="1:12" ht="15.75" x14ac:dyDescent="0.25">
      <c r="A108" s="2">
        <f>A107+1</f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>D108-C108</f>
        <v>-100.1</v>
      </c>
      <c r="L108" s="4">
        <f>L107+K108</f>
        <v>2282.8300000000017</v>
      </c>
    </row>
    <row r="109" spans="1:12" ht="15.75" x14ac:dyDescent="0.25">
      <c r="A109" s="2">
        <f>A108+1</f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>D109-C109</f>
        <v>-100.1</v>
      </c>
      <c r="L109" s="4">
        <f>L108+K109</f>
        <v>2182.7300000000018</v>
      </c>
    </row>
    <row r="110" spans="1:12" ht="15.75" x14ac:dyDescent="0.25">
      <c r="A110" s="2">
        <f>A109+1</f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>D110-C110</f>
        <v>6.230000000000004</v>
      </c>
      <c r="L110" s="4">
        <f>L109+K110</f>
        <v>2188.9600000000019</v>
      </c>
    </row>
    <row r="111" spans="1:12" ht="15.75" x14ac:dyDescent="0.25">
      <c r="A111" s="2">
        <f>A110+1</f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>D111-C111</f>
        <v>-100.1</v>
      </c>
      <c r="L111" s="4">
        <f>L110+K111</f>
        <v>2088.8600000000019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2025-04-10T18:09:02Z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