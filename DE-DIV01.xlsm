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01" documentId="13_ncr:1_{32BD3745-769A-4363-92E4-3EACA8D86657}" xr6:coauthVersionLast="47" xr6:coauthVersionMax="47" xr10:uidLastSave="{DE067E83-4D5B-458C-BDDC-FDB44EDAD0C2}"/>
  <bookViews>
    <workbookView xWindow="11895" yWindow="0" windowWidth="12210" windowHeight="12885" activeTab="1" xr2:uid="{01A82109-CFE8-4870-8A32-C4C48630416A}"/>
  </bookViews>
  <sheets>
    <sheet name="Dashboard" sheetId="12" r:id="rId1"/>
    <sheet name="Finanzen" sheetId="11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" i="11" l="1"/>
  <c r="A124" i="11"/>
  <c r="J123" i="11"/>
  <c r="A123" i="11"/>
  <c r="F18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L2" i="11" l="1"/>
  <c r="F11" i="12" l="1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<sst xmlns="http://schemas.openxmlformats.org/spreadsheetml/2006/main" count="46" uniqueCount="34">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</sst>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4" totalsRowShown="0" headerRowDxfId="14" dataDxfId="13">
  <autoFilter ref="A1:I12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zoomScale="50" zoomScaleNormal="5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8" t="s">
        <v>28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9" t="s">
        <v>33</v>
      </c>
      <c r="H6" s="50"/>
      <c r="I6" s="50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0"/>
      <c r="H7" s="50"/>
      <c r="I7" s="50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6" t="s">
        <v>16</v>
      </c>
      <c r="B10" s="46"/>
      <c r="C10" s="46"/>
      <c r="D10" s="46"/>
      <c r="E10" s="46"/>
      <c r="F10" s="46"/>
      <c r="G10" s="46"/>
      <c r="H10" s="46"/>
      <c r="I10" s="4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5" t="s">
        <v>12</v>
      </c>
      <c r="B11" s="45"/>
      <c r="C11" s="45"/>
      <c r="D11" s="45"/>
      <c r="E11" s="45"/>
      <c r="F11" s="45">
        <f>Finanzen!L2</f>
        <v>123</v>
      </c>
      <c r="G11" s="45"/>
      <c r="H11" s="45"/>
      <c r="I11" s="4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5" t="s">
        <v>19</v>
      </c>
      <c r="B12" s="45"/>
      <c r="C12" s="45"/>
      <c r="D12" s="45"/>
      <c r="E12" s="45"/>
      <c r="F12" s="51">
        <f>Finanzen!M2</f>
        <v>22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5" t="s">
        <v>20</v>
      </c>
      <c r="B13" s="45"/>
      <c r="C13" s="45"/>
      <c r="D13" s="45"/>
      <c r="E13" s="45"/>
      <c r="F13" s="47">
        <f>Finanzen!N2</f>
        <v>101</v>
      </c>
      <c r="G13" s="47"/>
      <c r="H13" s="47"/>
      <c r="I13" s="4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5" t="s">
        <v>6</v>
      </c>
      <c r="B14" s="45"/>
      <c r="C14" s="45"/>
      <c r="D14" s="45"/>
      <c r="E14" s="45"/>
      <c r="F14" s="45" t="str">
        <f>TEXT(Finanzen!M2/Finanzen!L2,"0,00%")</f>
        <v>17,89%</v>
      </c>
      <c r="G14" s="45"/>
      <c r="H14" s="45"/>
      <c r="I14" s="4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6" t="s">
        <v>17</v>
      </c>
      <c r="B16" s="46"/>
      <c r="C16" s="46"/>
      <c r="D16" s="46"/>
      <c r="E16" s="46"/>
      <c r="F16" s="46"/>
      <c r="G16" s="46"/>
      <c r="H16" s="46"/>
      <c r="I16" s="4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5" t="s">
        <v>10</v>
      </c>
      <c r="B17" s="45"/>
      <c r="C17" s="45"/>
      <c r="D17" s="45"/>
      <c r="E17" s="45"/>
      <c r="F17" s="33">
        <f>SUM(Finanzen!D:D)</f>
        <v>17392.710000000006</v>
      </c>
      <c r="G17" s="33"/>
      <c r="H17" s="33"/>
      <c r="I17" s="3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5" t="s">
        <v>11</v>
      </c>
      <c r="B18" s="45"/>
      <c r="C18" s="45"/>
      <c r="D18" s="45"/>
      <c r="E18" s="45"/>
      <c r="F18" s="33">
        <f>SUM(Finanzen!J:J)</f>
        <v>664.92000000000144</v>
      </c>
      <c r="G18" s="33"/>
      <c r="H18" s="33"/>
      <c r="I18" s="33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46" t="s">
        <v>18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5"/>
      <c r="H21" s="39" t="s">
        <v>26</v>
      </c>
      <c r="I21" s="35"/>
      <c r="J21" s="34" t="s">
        <v>14</v>
      </c>
      <c r="K21" s="35"/>
      <c r="L21" s="34" t="s">
        <v>5</v>
      </c>
      <c r="M21" s="35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4">
        <v>1</v>
      </c>
      <c r="B22" s="25"/>
      <c r="C22" s="36" t="s">
        <v>23</v>
      </c>
      <c r="D22" s="37"/>
      <c r="E22" s="38"/>
      <c r="F22" s="14">
        <v>57</v>
      </c>
      <c r="G22" s="12" t="s">
        <v>29</v>
      </c>
      <c r="H22" s="16">
        <v>124</v>
      </c>
      <c r="I22" s="12" t="s">
        <v>21</v>
      </c>
      <c r="J22" s="16">
        <f>F22+H22</f>
        <v>181</v>
      </c>
      <c r="K22" s="12" t="s">
        <v>21</v>
      </c>
      <c r="L22" s="31" t="str">
        <f>TEXT(F22/J22,"0,00%")</f>
        <v>31,49%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4">
        <v>2</v>
      </c>
      <c r="B23" s="25"/>
      <c r="C23" s="36" t="s">
        <v>22</v>
      </c>
      <c r="D23" s="37"/>
      <c r="E23" s="38"/>
      <c r="F23" s="14">
        <v>52</v>
      </c>
      <c r="G23" s="12" t="s">
        <v>32</v>
      </c>
      <c r="H23" s="16">
        <v>133</v>
      </c>
      <c r="I23" s="12" t="s">
        <v>31</v>
      </c>
      <c r="J23" s="16">
        <f>F23+H23</f>
        <v>185</v>
      </c>
      <c r="K23" s="12" t="s">
        <v>21</v>
      </c>
      <c r="L23" s="31" t="str">
        <f>TEXT(F23/J23,"0,00%")</f>
        <v>28,11%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4">
        <v>3</v>
      </c>
      <c r="B24" s="25"/>
      <c r="C24" s="36" t="s">
        <v>24</v>
      </c>
      <c r="D24" s="37"/>
      <c r="E24" s="38"/>
      <c r="F24" s="14">
        <v>47</v>
      </c>
      <c r="G24" s="12" t="s">
        <v>29</v>
      </c>
      <c r="H24" s="16">
        <v>134</v>
      </c>
      <c r="I24" s="12" t="s">
        <v>21</v>
      </c>
      <c r="J24" s="16">
        <f>F24+H24</f>
        <v>181</v>
      </c>
      <c r="K24" s="12" t="s">
        <v>21</v>
      </c>
      <c r="L24" s="31" t="str">
        <f>TEXT(F24/J24,"0,00%")</f>
        <v>25,97%</v>
      </c>
      <c r="M24" s="32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26">
        <v>4</v>
      </c>
      <c r="B25" s="27"/>
      <c r="C25" s="28" t="s">
        <v>25</v>
      </c>
      <c r="D25" s="29"/>
      <c r="E25" s="30"/>
      <c r="F25" s="15">
        <v>40</v>
      </c>
      <c r="G25" s="13" t="s">
        <v>29</v>
      </c>
      <c r="H25" s="17">
        <v>122</v>
      </c>
      <c r="I25" s="13" t="s">
        <v>21</v>
      </c>
      <c r="J25" s="17">
        <f>F25+H25</f>
        <v>162</v>
      </c>
      <c r="K25" s="13" t="s">
        <v>21</v>
      </c>
      <c r="L25" s="22" t="str">
        <f>TEXT(F25/J25,"0,00%")</f>
        <v>24,69%</v>
      </c>
      <c r="M25" s="23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L25:M25"/>
    <mergeCell ref="A22:B22"/>
    <mergeCell ref="A23:B23"/>
    <mergeCell ref="A25:B25"/>
    <mergeCell ref="C25:E25"/>
    <mergeCell ref="L24:M24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4"/>
  <sheetViews>
    <sheetView tabSelected="1" zoomScale="90" zoomScaleNormal="90" workbookViewId="0">
      <pane ySplit="1" topLeftCell="A105" activePane="bottomLeft" state="frozen"/>
      <selection activeCell="C1" sqref="C1"/>
      <selection pane="bottomLeft" activeCell="A126" sqref="A12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123</v>
      </c>
      <c r="M2" s="5">
        <f>COUNTIF(D:D,"&gt;0")</f>
        <v>22</v>
      </c>
      <c r="N2" s="5">
        <f>COUNTIF(D:D,"0")</f>
        <v>101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4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 t="shared" si="2"/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2025-07-13T06:14:59Z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