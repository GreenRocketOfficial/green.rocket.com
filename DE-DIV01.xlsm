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98" documentId="13_ncr:1_{32BD3745-769A-4363-92E4-3EACA8D86657}" xr6:coauthVersionLast="47" xr6:coauthVersionMax="47" xr10:uidLastSave="{39ED24F7-8DA5-4FBD-BE12-3A39041B434A}"/>
  <bookViews>
    <workbookView xWindow="11895" yWindow="0" windowWidth="12210" windowHeight="12885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Finanzen!$J$1:$J$122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4" i="11" l="1"/>
  <c r="A124" i="11"/>
  <c r="J123" i="11"/>
  <c r="A123" i="11"/>
  <c r="F18" i="12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2" i="11"/>
  <c r="F17" i="12"/>
  <c r="J22" i="12"/>
  <c r="L22" i="12" s="1"/>
  <c r="J23" i="12"/>
  <c r="L23" i="12" s="1"/>
  <c r="J25" i="12"/>
  <c r="L25" i="12" s="1"/>
  <c r="J24" i="12"/>
  <c r="L24" i="12" s="1"/>
  <c r="N2" i="11"/>
  <c r="F13" i="12" s="1"/>
  <c r="M2" i="11"/>
  <c r="F12" i="12" s="1"/>
  <c r="A5" i="11"/>
  <c r="A6" i="11"/>
  <c r="A7" i="11"/>
  <c r="A8" i="11"/>
  <c r="A9" i="11"/>
  <c r="A10" i="11"/>
  <c r="A11" i="11"/>
  <c r="A12" i="11"/>
  <c r="A13" i="11" s="1"/>
  <c r="A77" i="1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 s="1"/>
  <c r="A120" i="11" s="1"/>
  <c r="A121" i="11" s="1"/>
  <c r="A122" i="11" s="1"/>
  <c r="A14" i="11" l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L2" i="11" l="1"/>
  <c r="F11" i="12" l="1"/>
  <c r="F14" i="12"/>
</calcChain>
</file>

<file path=xl/sharedStrings.xml><?xml version="1.0" encoding="utf-8"?>
<sst xmlns="http://schemas.openxmlformats.org/spreadsheetml/2006/main" count="46" uniqueCount="34">
  <si>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</si>
  <si>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</si>
  <si>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</si>
  <si>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</si>
  <si>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</si>
  <si>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</si>
  <si>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</si>
  <si>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</si>
  <si>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</si>
  <si>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</si>
  <si>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</si>
  <si>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Gewinn: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</si>
  <si>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</si>
  <si>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</si>
  <si>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</si>
  <si>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</si>
  <si>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</si>
  <si>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</si>
  <si>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</si>
  <si>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</si>
  <si>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</si>
  <si>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+ 4</t>
  </si>
  <si>
    <t>DE002</t>
  </si>
  <si>
    <t>DE001</t>
  </si>
  <si>
    <t>DE004</t>
  </si>
  <si>
    <t>DE003</t>
  </si>
  <si>
    <t>falsch</t>
  </si>
  <si>
    <t>entlassen</t>
  </si>
  <si>
    <t>Statistik Division 1</t>
  </si>
  <si>
    <t>+ 0</t>
  </si>
  <si>
    <t>Spalte1</t>
  </si>
  <si>
    <t>+ 3</t>
  </si>
  <si>
    <t>+ 1</t>
  </si>
  <si>
    <t>Stand: 09.07.2025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</si>
</sst>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4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2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49" fontId="10" fillId="3" borderId="7" xfId="0" applyNumberFormat="1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6" fillId="3" borderId="4" xfId="0" applyFont="1" applyFill="1" applyBorder="1"/>
    <xf numFmtId="0" fontId="6" fillId="3" borderId="6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6" xfId="0" applyFont="1" applyFill="1" applyBorder="1"/>
    <xf numFmtId="8" fontId="4" fillId="5" borderId="17" xfId="0" applyNumberFormat="1" applyFont="1" applyFill="1" applyBorder="1"/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9" fontId="10" fillId="3" borderId="11" xfId="3" applyFont="1" applyFill="1" applyBorder="1" applyAlignment="1">
      <alignment horizontal="center" vertical="center"/>
    </xf>
    <xf numFmtId="9" fontId="10" fillId="3" borderId="12" xfId="3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44" fontId="10" fillId="3" borderId="0" xfId="1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8" xfId="0" quotePrefix="1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9" fontId="10" fillId="3" borderId="13" xfId="3" applyFont="1" applyFill="1" applyBorder="1" applyAlignment="1">
      <alignment horizontal="center" vertical="center"/>
    </xf>
    <xf numFmtId="9" fontId="10" fillId="3" borderId="14" xfId="3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124" totalsRowShown="0" headerRowDxfId="14" dataDxfId="13">
  <autoFilter ref="A1:I124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5" xr3:uid="{FA63E364-1EDC-42C2-85A8-AA6635EED961}" name="entlassen" dataDxfId="8"/>
    <tableColumn id="6" xr3:uid="{0CC11F64-2722-43BD-96D8-11D3926704EB}" name="DE001" dataDxfId="7"/>
    <tableColumn id="7" xr3:uid="{5E213DFF-7615-48CF-8944-4C071C187C55}" name="DE002" dataDxfId="6"/>
    <tableColumn id="8" xr3:uid="{265603BC-E9E1-462B-9A6D-C0F306480253}" name="DE003" dataDxfId="5"/>
    <tableColumn id="9" xr3:uid="{8305AF6F-BFE9-4D5B-8B01-3CF39FA2D0B3}" name="DE004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9"/>
  <sheetViews>
    <sheetView showGridLines="0" tabSelected="1" zoomScale="50" zoomScaleNormal="50" workbookViewId="0">
      <pane ySplit="9" topLeftCell="A10" activePane="bottomLeft" state="frozen"/>
      <selection activeCell="Z33" sqref="Z33"/>
      <selection pane="bottomLeft" activeCell="K13" sqref="K13"/>
    </sheetView>
  </sheetViews>
  <sheetFormatPr baseColWidth="10" defaultColWidth="10.7109375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8"/>
      <c r="B1" s="18"/>
      <c r="C1" s="24" t="s">
        <v>28</v>
      </c>
      <c r="D1" s="24"/>
      <c r="E1" s="24"/>
      <c r="F1" s="24"/>
      <c r="G1" s="24"/>
      <c r="H1" s="24"/>
      <c r="I1" s="24"/>
      <c r="J1" s="24"/>
      <c r="K1" s="24"/>
      <c r="L1" s="24"/>
      <c r="M1" s="24"/>
      <c r="N1" s="18"/>
      <c r="O1" s="18"/>
      <c r="P1" s="18"/>
      <c r="Q1" s="18"/>
      <c r="R1" s="18"/>
      <c r="S1" s="18"/>
      <c r="T1" s="18"/>
      <c r="U1" s="18"/>
      <c r="V1" s="7"/>
      <c r="W1" s="7"/>
      <c r="X1" s="7"/>
    </row>
    <row r="2" spans="1:24" ht="14.45" customHeight="1" x14ac:dyDescent="0.25">
      <c r="A2" s="18"/>
      <c r="B2" s="18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18"/>
      <c r="O2" s="18"/>
      <c r="P2" s="18"/>
      <c r="Q2" s="18"/>
      <c r="R2" s="18"/>
      <c r="S2" s="18"/>
      <c r="T2" s="18"/>
      <c r="U2" s="18"/>
      <c r="V2" s="7"/>
      <c r="W2" s="7"/>
      <c r="X2" s="7"/>
    </row>
    <row r="3" spans="1:24" ht="14.45" customHeight="1" x14ac:dyDescent="0.25">
      <c r="A3" s="18"/>
      <c r="B3" s="18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18"/>
      <c r="O3" s="18"/>
      <c r="P3" s="18"/>
      <c r="Q3" s="18"/>
      <c r="R3" s="18"/>
      <c r="S3" s="18"/>
      <c r="T3" s="18"/>
      <c r="U3" s="18"/>
      <c r="V3" s="7"/>
      <c r="W3" s="7"/>
      <c r="X3" s="7"/>
    </row>
    <row r="4" spans="1:24" ht="14.45" customHeight="1" x14ac:dyDescent="0.25">
      <c r="A4" s="18"/>
      <c r="B4" s="18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18"/>
      <c r="O4" s="18"/>
      <c r="P4" s="18"/>
      <c r="Q4" s="18"/>
      <c r="R4" s="18"/>
      <c r="S4" s="18"/>
      <c r="T4" s="18"/>
      <c r="U4" s="18"/>
      <c r="V4" s="7"/>
      <c r="W4" s="7"/>
      <c r="X4" s="7"/>
    </row>
    <row r="5" spans="1:24" ht="14.45" customHeight="1" x14ac:dyDescent="0.25">
      <c r="A5" s="18"/>
      <c r="B5" s="18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18"/>
      <c r="O5" s="18"/>
      <c r="P5" s="18"/>
      <c r="Q5" s="18"/>
      <c r="R5" s="18"/>
      <c r="S5" s="18"/>
      <c r="T5" s="18"/>
      <c r="U5" s="18"/>
      <c r="V5" s="7"/>
      <c r="W5" s="7"/>
      <c r="X5" s="7"/>
    </row>
    <row r="6" spans="1:24" ht="14.45" customHeight="1" x14ac:dyDescent="0.25">
      <c r="A6" s="18"/>
      <c r="B6" s="18"/>
      <c r="C6" s="18"/>
      <c r="D6" s="18"/>
      <c r="E6" s="18"/>
      <c r="F6" s="18"/>
      <c r="G6" s="25" t="s">
        <v>33</v>
      </c>
      <c r="H6" s="26"/>
      <c r="I6" s="26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26"/>
      <c r="H7" s="26"/>
      <c r="I7" s="26"/>
      <c r="J7" s="19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22" t="s">
        <v>16</v>
      </c>
      <c r="B10" s="22"/>
      <c r="C10" s="22"/>
      <c r="D10" s="22"/>
      <c r="E10" s="22"/>
      <c r="F10" s="22"/>
      <c r="G10" s="22"/>
      <c r="H10" s="22"/>
      <c r="I10" s="22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29" t="s">
        <v>12</v>
      </c>
      <c r="B11" s="29"/>
      <c r="C11" s="29"/>
      <c r="D11" s="29"/>
      <c r="E11" s="29"/>
      <c r="F11" s="29">
        <f>Finanzen!L2</f>
        <v>123</v>
      </c>
      <c r="G11" s="29"/>
      <c r="H11" s="29"/>
      <c r="I11" s="29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29" t="s">
        <v>19</v>
      </c>
      <c r="B12" s="29"/>
      <c r="C12" s="29"/>
      <c r="D12" s="29"/>
      <c r="E12" s="29"/>
      <c r="F12" s="33">
        <f>Finanzen!M2</f>
        <v>22</v>
      </c>
      <c r="G12" s="33"/>
      <c r="H12" s="33"/>
      <c r="I12" s="33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29" t="s">
        <v>20</v>
      </c>
      <c r="B13" s="29"/>
      <c r="C13" s="29"/>
      <c r="D13" s="29"/>
      <c r="E13" s="29"/>
      <c r="F13" s="23">
        <f>Finanzen!N2</f>
        <v>101</v>
      </c>
      <c r="G13" s="23"/>
      <c r="H13" s="23"/>
      <c r="I13" s="23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29" t="s">
        <v>6</v>
      </c>
      <c r="B14" s="29"/>
      <c r="C14" s="29"/>
      <c r="D14" s="29"/>
      <c r="E14" s="29"/>
      <c r="F14" s="29" t="str">
        <f>TEXT(Finanzen!M2/Finanzen!L2,"0,00%")</f>
        <v>17,89%</v>
      </c>
      <c r="G14" s="29"/>
      <c r="H14" s="29"/>
      <c r="I14" s="29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22" t="s">
        <v>17</v>
      </c>
      <c r="B16" s="22"/>
      <c r="C16" s="22"/>
      <c r="D16" s="22"/>
      <c r="E16" s="22"/>
      <c r="F16" s="22"/>
      <c r="G16" s="22"/>
      <c r="H16" s="22"/>
      <c r="I16" s="22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29" t="s">
        <v>10</v>
      </c>
      <c r="B17" s="29"/>
      <c r="C17" s="29"/>
      <c r="D17" s="29"/>
      <c r="E17" s="29"/>
      <c r="F17" s="34">
        <f>SUM(Finanzen!D:D)</f>
        <v>17392.710000000006</v>
      </c>
      <c r="G17" s="34"/>
      <c r="H17" s="34"/>
      <c r="I17" s="34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29" t="s">
        <v>11</v>
      </c>
      <c r="B18" s="29"/>
      <c r="C18" s="29"/>
      <c r="D18" s="29"/>
      <c r="E18" s="29"/>
      <c r="F18" s="34">
        <f>SUM(Finanzen!J:J)</f>
        <v>664.92000000000144</v>
      </c>
      <c r="G18" s="34"/>
      <c r="H18" s="34"/>
      <c r="I18" s="34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66" ht="46.5" x14ac:dyDescent="0.25">
      <c r="A19" s="7"/>
      <c r="B19" s="9"/>
      <c r="C19" s="9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66" ht="47.25" thickBot="1" x14ac:dyDescent="0.3">
      <c r="A20" s="22" t="s">
        <v>18</v>
      </c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7"/>
      <c r="Q20" s="7"/>
      <c r="R20" s="7"/>
      <c r="S20" s="7"/>
      <c r="T20" s="7"/>
      <c r="U20" s="7"/>
      <c r="V20" s="7"/>
      <c r="W20" s="7"/>
      <c r="X20" s="7"/>
    </row>
    <row r="21" spans="1:66" ht="46.5" x14ac:dyDescent="0.7">
      <c r="A21" s="40" t="s">
        <v>15</v>
      </c>
      <c r="B21" s="41"/>
      <c r="C21" s="42" t="s">
        <v>4</v>
      </c>
      <c r="D21" s="43"/>
      <c r="E21" s="44"/>
      <c r="F21" s="39" t="s">
        <v>13</v>
      </c>
      <c r="G21" s="36"/>
      <c r="H21" s="39" t="s">
        <v>26</v>
      </c>
      <c r="I21" s="36"/>
      <c r="J21" s="35" t="s">
        <v>14</v>
      </c>
      <c r="K21" s="36"/>
      <c r="L21" s="35" t="s">
        <v>5</v>
      </c>
      <c r="M21" s="36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37">
        <v>1</v>
      </c>
      <c r="B22" s="38"/>
      <c r="C22" s="30" t="s">
        <v>23</v>
      </c>
      <c r="D22" s="31"/>
      <c r="E22" s="32"/>
      <c r="F22" s="14">
        <v>57</v>
      </c>
      <c r="G22" s="12" t="s">
        <v>29</v>
      </c>
      <c r="H22" s="16">
        <v>124</v>
      </c>
      <c r="I22" s="12" t="s">
        <v>21</v>
      </c>
      <c r="J22" s="16">
        <f>F22+H22</f>
        <v>181</v>
      </c>
      <c r="K22" s="12" t="s">
        <v>21</v>
      </c>
      <c r="L22" s="27" t="str">
        <f>TEXT(F22/J22,"0,00%")</f>
        <v>31,49%</v>
      </c>
      <c r="M22" s="28"/>
      <c r="N22" s="7"/>
      <c r="O22" s="7"/>
      <c r="P22" s="7"/>
      <c r="Q22" s="7"/>
      <c r="R22" s="7"/>
      <c r="S22" s="7"/>
      <c r="T22" s="7"/>
      <c r="U22" s="7"/>
      <c r="V22" s="7"/>
    </row>
    <row r="23" spans="1:66" ht="46.5" x14ac:dyDescent="0.7">
      <c r="A23" s="37">
        <v>2</v>
      </c>
      <c r="B23" s="38"/>
      <c r="C23" s="30" t="s">
        <v>22</v>
      </c>
      <c r="D23" s="31"/>
      <c r="E23" s="32"/>
      <c r="F23" s="14">
        <v>52</v>
      </c>
      <c r="G23" s="12" t="s">
        <v>32</v>
      </c>
      <c r="H23" s="16">
        <v>133</v>
      </c>
      <c r="I23" s="12" t="s">
        <v>31</v>
      </c>
      <c r="J23" s="16">
        <f>F23+H23</f>
        <v>185</v>
      </c>
      <c r="K23" s="12" t="s">
        <v>21</v>
      </c>
      <c r="L23" s="27" t="str">
        <f>TEXT(F23/J23,"0,00%")</f>
        <v>28,11%</v>
      </c>
      <c r="M23" s="28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37">
        <v>3</v>
      </c>
      <c r="B24" s="38"/>
      <c r="C24" s="30" t="s">
        <v>24</v>
      </c>
      <c r="D24" s="31"/>
      <c r="E24" s="32"/>
      <c r="F24" s="14">
        <v>47</v>
      </c>
      <c r="G24" s="12" t="s">
        <v>29</v>
      </c>
      <c r="H24" s="16">
        <v>134</v>
      </c>
      <c r="I24" s="12" t="s">
        <v>21</v>
      </c>
      <c r="J24" s="16">
        <f>F24+H24</f>
        <v>181</v>
      </c>
      <c r="K24" s="12" t="s">
        <v>21</v>
      </c>
      <c r="L24" s="27" t="str">
        <f>TEXT(F24/J24,"0,00%")</f>
        <v>25,97%</v>
      </c>
      <c r="M24" s="28"/>
      <c r="N24" s="7"/>
      <c r="O24" s="7"/>
      <c r="P24" s="7"/>
      <c r="Q24" s="7"/>
      <c r="R24" s="7"/>
      <c r="S24" s="7"/>
      <c r="T24" s="7"/>
      <c r="U24" s="7"/>
      <c r="V24" s="7"/>
    </row>
    <row r="25" spans="1:66" ht="47.25" thickBot="1" x14ac:dyDescent="0.75">
      <c r="A25" s="47">
        <v>4</v>
      </c>
      <c r="B25" s="48"/>
      <c r="C25" s="49" t="s">
        <v>25</v>
      </c>
      <c r="D25" s="50"/>
      <c r="E25" s="51"/>
      <c r="F25" s="15">
        <v>40</v>
      </c>
      <c r="G25" s="13" t="s">
        <v>29</v>
      </c>
      <c r="H25" s="17">
        <v>122</v>
      </c>
      <c r="I25" s="13" t="s">
        <v>21</v>
      </c>
      <c r="J25" s="17">
        <f>F25+H25</f>
        <v>162</v>
      </c>
      <c r="K25" s="13" t="s">
        <v>21</v>
      </c>
      <c r="L25" s="45" t="str">
        <f>TEXT(F25/J25,"0,00%")</f>
        <v>24,69%</v>
      </c>
      <c r="M25" s="46"/>
      <c r="N25" s="7"/>
      <c r="O25" s="7"/>
      <c r="P25" s="7"/>
      <c r="Q25" s="7"/>
      <c r="R25" s="7"/>
      <c r="S25" s="7"/>
      <c r="T25" s="7"/>
      <c r="U25" s="7"/>
      <c r="V25" s="7"/>
    </row>
    <row r="26" spans="1:66" ht="15" customHeight="1" x14ac:dyDescent="0.25">
      <c r="A26" s="7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11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ht="15" customHeight="1" x14ac:dyDescent="0.25">
      <c r="A28" s="10"/>
      <c r="B28" s="10"/>
      <c r="C28" s="10"/>
      <c r="D28" s="10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66" s="6" customFormat="1" ht="10.5" customHeight="1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</row>
    <row r="30" spans="1:66" x14ac:dyDescent="0.25">
      <c r="A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x14ac:dyDescent="0.25">
      <c r="A31" s="7"/>
      <c r="B31" s="7"/>
      <c r="C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66" x14ac:dyDescent="0.25">
      <c r="D32" s="7"/>
      <c r="E32" s="7"/>
      <c r="F32" s="7"/>
      <c r="G32" s="7"/>
      <c r="H32" s="7"/>
      <c r="I32" s="7"/>
      <c r="J32" s="7"/>
      <c r="K32" s="7"/>
    </row>
    <row r="33" spans="1:24" ht="26.25" customHeight="1" x14ac:dyDescent="0.25">
      <c r="A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26.25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3.9" customHeight="1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ht="15" customHeight="1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  <row r="99" spans="1:21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</row>
  </sheetData>
  <mergeCells count="35">
    <mergeCell ref="L25:M25"/>
    <mergeCell ref="A22:B22"/>
    <mergeCell ref="A23:B23"/>
    <mergeCell ref="A25:B25"/>
    <mergeCell ref="C25:E25"/>
    <mergeCell ref="L24:M24"/>
    <mergeCell ref="L23:M23"/>
    <mergeCell ref="F17:I17"/>
    <mergeCell ref="L21:M21"/>
    <mergeCell ref="A24:B24"/>
    <mergeCell ref="C23:E23"/>
    <mergeCell ref="C24:E24"/>
    <mergeCell ref="F21:G21"/>
    <mergeCell ref="F18:I18"/>
    <mergeCell ref="H21:I21"/>
    <mergeCell ref="J21:K21"/>
    <mergeCell ref="A21:B21"/>
    <mergeCell ref="C21:E21"/>
    <mergeCell ref="A18:E18"/>
    <mergeCell ref="A10:I10"/>
    <mergeCell ref="F13:I13"/>
    <mergeCell ref="C1:M5"/>
    <mergeCell ref="G6:I7"/>
    <mergeCell ref="L22:M22"/>
    <mergeCell ref="A17:E17"/>
    <mergeCell ref="C22:E22"/>
    <mergeCell ref="A11:E11"/>
    <mergeCell ref="A12:E12"/>
    <mergeCell ref="A13:E13"/>
    <mergeCell ref="A14:E14"/>
    <mergeCell ref="F12:I12"/>
    <mergeCell ref="F11:I11"/>
    <mergeCell ref="A20:O20"/>
    <mergeCell ref="F14:I14"/>
    <mergeCell ref="A16:I16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124"/>
  <sheetViews>
    <sheetView topLeftCell="C1" zoomScale="90" zoomScaleNormal="90" workbookViewId="0">
      <pane ySplit="1" topLeftCell="A105" activePane="bottomLeft" state="frozen"/>
      <selection activeCell="C1" sqref="C1"/>
      <selection pane="bottomLeft" activeCell="K128" sqref="K128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4.5703125" bestFit="1" customWidth="1"/>
    <col min="6" max="6" width="10.7109375" bestFit="1" customWidth="1"/>
    <col min="7" max="7" width="10.28515625" bestFit="1" customWidth="1"/>
    <col min="8" max="9" width="10.7109375" bestFit="1" customWidth="1"/>
    <col min="10" max="10" width="12" bestFit="1" customWidth="1"/>
    <col min="11" max="11" width="9.28515625" bestFit="1" customWidth="1"/>
    <col min="12" max="12" width="13.140625" bestFit="1" customWidth="1"/>
    <col min="13" max="13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27</v>
      </c>
      <c r="F1" s="1" t="s">
        <v>23</v>
      </c>
      <c r="G1" s="1" t="s">
        <v>22</v>
      </c>
      <c r="H1" s="1" t="s">
        <v>25</v>
      </c>
      <c r="I1" s="1" t="s">
        <v>24</v>
      </c>
      <c r="J1" s="20" t="s">
        <v>30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44985</v>
      </c>
      <c r="C2" s="4">
        <v>35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21">
        <f>D2-C2-F2-E2-G2-H2-I2</f>
        <v>-35</v>
      </c>
      <c r="L2" s="5">
        <f>COUNTA(A:A)-1</f>
        <v>123</v>
      </c>
      <c r="M2" s="5">
        <f>COUNTIF(D:D,"&gt;0")</f>
        <v>22</v>
      </c>
      <c r="N2" s="5">
        <f>COUNTIF(D:D,"0")</f>
        <v>101</v>
      </c>
    </row>
    <row r="3" spans="1:15" ht="15.75" x14ac:dyDescent="0.25">
      <c r="A3" s="2">
        <v>2</v>
      </c>
      <c r="B3" s="3">
        <v>44992</v>
      </c>
      <c r="C3" s="4">
        <v>35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21">
        <f t="shared" ref="J3:J66" si="0">D3-C3-F3-E3-G3-H3-I3</f>
        <v>-35</v>
      </c>
    </row>
    <row r="4" spans="1:15" ht="15.75" x14ac:dyDescent="0.25">
      <c r="A4" s="2">
        <v>3</v>
      </c>
      <c r="B4" s="3">
        <v>44999</v>
      </c>
      <c r="C4" s="4">
        <v>35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21">
        <f t="shared" si="0"/>
        <v>-35</v>
      </c>
    </row>
    <row r="5" spans="1:15" ht="15.75" x14ac:dyDescent="0.25">
      <c r="A5" s="2">
        <f>A4+1</f>
        <v>4</v>
      </c>
      <c r="B5" s="3">
        <v>45013</v>
      </c>
      <c r="C5" s="4">
        <v>35</v>
      </c>
      <c r="D5" s="4">
        <v>62.91</v>
      </c>
      <c r="E5" s="4">
        <v>0</v>
      </c>
      <c r="F5" s="4">
        <v>9.44</v>
      </c>
      <c r="G5" s="4">
        <v>0</v>
      </c>
      <c r="H5" s="4">
        <v>0</v>
      </c>
      <c r="I5" s="4">
        <v>0</v>
      </c>
      <c r="J5" s="21">
        <f t="shared" si="0"/>
        <v>18.47</v>
      </c>
    </row>
    <row r="6" spans="1:15" ht="15.75" x14ac:dyDescent="0.25">
      <c r="A6" s="2">
        <f t="shared" ref="A6:A69" si="1">A5+1</f>
        <v>5</v>
      </c>
      <c r="B6" s="3">
        <v>45021</v>
      </c>
      <c r="C6" s="4">
        <v>35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21">
        <f t="shared" si="0"/>
        <v>-35</v>
      </c>
    </row>
    <row r="7" spans="1:15" ht="15.75" x14ac:dyDescent="0.25">
      <c r="A7" s="2">
        <f t="shared" si="1"/>
        <v>6</v>
      </c>
      <c r="B7" s="3">
        <v>45027</v>
      </c>
      <c r="C7" s="4">
        <v>35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21">
        <f t="shared" si="0"/>
        <v>-35</v>
      </c>
    </row>
    <row r="8" spans="1:15" ht="15.75" x14ac:dyDescent="0.25">
      <c r="A8" s="2">
        <f t="shared" si="1"/>
        <v>7</v>
      </c>
      <c r="B8" s="3">
        <v>45034</v>
      </c>
      <c r="C8" s="4">
        <v>35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21">
        <f t="shared" si="0"/>
        <v>-35</v>
      </c>
    </row>
    <row r="9" spans="1:15" ht="15.75" x14ac:dyDescent="0.25">
      <c r="A9" s="2">
        <f t="shared" si="1"/>
        <v>8</v>
      </c>
      <c r="B9" s="3">
        <v>45041</v>
      </c>
      <c r="C9" s="4">
        <v>35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21">
        <f t="shared" si="0"/>
        <v>-35</v>
      </c>
    </row>
    <row r="10" spans="1:15" ht="15.75" x14ac:dyDescent="0.25">
      <c r="A10" s="2">
        <f t="shared" si="1"/>
        <v>9</v>
      </c>
      <c r="B10" s="3">
        <v>45048</v>
      </c>
      <c r="C10" s="4">
        <v>35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21">
        <f t="shared" si="0"/>
        <v>-35</v>
      </c>
    </row>
    <row r="11" spans="1:15" ht="15.75" x14ac:dyDescent="0.25">
      <c r="A11" s="2">
        <f t="shared" si="1"/>
        <v>10</v>
      </c>
      <c r="B11" s="3">
        <v>45055</v>
      </c>
      <c r="C11" s="4">
        <v>35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21">
        <f t="shared" si="0"/>
        <v>-35</v>
      </c>
    </row>
    <row r="12" spans="1:15" ht="15.75" x14ac:dyDescent="0.25">
      <c r="A12" s="2">
        <f t="shared" si="1"/>
        <v>11</v>
      </c>
      <c r="B12" s="3">
        <v>45062</v>
      </c>
      <c r="C12" s="4">
        <v>35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21">
        <f t="shared" si="0"/>
        <v>-35</v>
      </c>
    </row>
    <row r="13" spans="1:15" ht="15.75" x14ac:dyDescent="0.25">
      <c r="A13" s="2">
        <f t="shared" si="1"/>
        <v>12</v>
      </c>
      <c r="B13" s="3">
        <v>45069</v>
      </c>
      <c r="C13" s="4">
        <v>35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21">
        <f t="shared" si="0"/>
        <v>-35</v>
      </c>
    </row>
    <row r="14" spans="1:15" ht="15.75" x14ac:dyDescent="0.25">
      <c r="A14" s="2">
        <f t="shared" si="1"/>
        <v>13</v>
      </c>
      <c r="B14" s="3">
        <v>45076</v>
      </c>
      <c r="C14" s="4">
        <v>35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21">
        <f t="shared" si="0"/>
        <v>-35</v>
      </c>
    </row>
    <row r="15" spans="1:15" ht="15.75" x14ac:dyDescent="0.25">
      <c r="A15" s="2">
        <f t="shared" si="1"/>
        <v>14</v>
      </c>
      <c r="B15" s="3">
        <v>45082</v>
      </c>
      <c r="C15" s="4">
        <v>35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21">
        <f t="shared" si="0"/>
        <v>-35</v>
      </c>
    </row>
    <row r="16" spans="1:15" ht="15.75" x14ac:dyDescent="0.25">
      <c r="A16" s="2">
        <f t="shared" si="1"/>
        <v>15</v>
      </c>
      <c r="B16" s="3">
        <v>45090</v>
      </c>
      <c r="C16" s="4">
        <v>35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21">
        <f t="shared" si="0"/>
        <v>-35</v>
      </c>
    </row>
    <row r="17" spans="1:10" ht="15.75" x14ac:dyDescent="0.25">
      <c r="A17" s="2">
        <f t="shared" si="1"/>
        <v>16</v>
      </c>
      <c r="B17" s="3">
        <v>45097</v>
      </c>
      <c r="C17" s="4">
        <v>35</v>
      </c>
      <c r="D17" s="4">
        <v>1285.73</v>
      </c>
      <c r="E17" s="4">
        <v>0</v>
      </c>
      <c r="F17" s="4">
        <v>128.57</v>
      </c>
      <c r="G17" s="4">
        <v>128.57</v>
      </c>
      <c r="H17" s="4">
        <v>128.57</v>
      </c>
      <c r="I17" s="4">
        <v>0</v>
      </c>
      <c r="J17" s="21">
        <f t="shared" si="0"/>
        <v>865.02000000000021</v>
      </c>
    </row>
    <row r="18" spans="1:10" ht="15.75" x14ac:dyDescent="0.25">
      <c r="A18" s="2">
        <f t="shared" si="1"/>
        <v>17</v>
      </c>
      <c r="B18" s="3">
        <v>45104</v>
      </c>
      <c r="C18" s="4">
        <v>42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21">
        <f t="shared" si="0"/>
        <v>-42</v>
      </c>
    </row>
    <row r="19" spans="1:10" ht="15.75" x14ac:dyDescent="0.25">
      <c r="A19" s="2">
        <f t="shared" si="1"/>
        <v>18</v>
      </c>
      <c r="B19" s="3">
        <v>45111</v>
      </c>
      <c r="C19" s="4">
        <v>70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21">
        <f t="shared" si="0"/>
        <v>-70</v>
      </c>
    </row>
    <row r="20" spans="1:10" ht="15.75" x14ac:dyDescent="0.25">
      <c r="A20" s="2">
        <f t="shared" si="1"/>
        <v>19</v>
      </c>
      <c r="B20" s="3">
        <v>45118</v>
      </c>
      <c r="C20" s="4">
        <v>56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21">
        <f t="shared" si="0"/>
        <v>-56</v>
      </c>
    </row>
    <row r="21" spans="1:10" ht="15.75" x14ac:dyDescent="0.25">
      <c r="A21" s="2">
        <f t="shared" si="1"/>
        <v>20</v>
      </c>
      <c r="B21" s="3">
        <v>45125</v>
      </c>
      <c r="C21" s="4">
        <v>56</v>
      </c>
      <c r="D21" s="4">
        <v>336.87</v>
      </c>
      <c r="E21" s="4">
        <v>33.69</v>
      </c>
      <c r="F21" s="4">
        <v>67.37</v>
      </c>
      <c r="G21" s="4">
        <v>0</v>
      </c>
      <c r="H21" s="4">
        <v>33.69</v>
      </c>
      <c r="I21" s="4">
        <v>0</v>
      </c>
      <c r="J21" s="21">
        <f t="shared" si="0"/>
        <v>146.12</v>
      </c>
    </row>
    <row r="22" spans="1:10" ht="15.75" x14ac:dyDescent="0.25">
      <c r="A22" s="2">
        <f t="shared" si="1"/>
        <v>21</v>
      </c>
      <c r="B22" s="3">
        <v>45131</v>
      </c>
      <c r="C22" s="4">
        <v>56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21">
        <f t="shared" si="0"/>
        <v>-56</v>
      </c>
    </row>
    <row r="23" spans="1:10" ht="15.75" x14ac:dyDescent="0.25">
      <c r="A23" s="2">
        <f t="shared" si="1"/>
        <v>22</v>
      </c>
      <c r="B23" s="3">
        <v>45142</v>
      </c>
      <c r="C23" s="4">
        <v>56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21">
        <f t="shared" si="0"/>
        <v>-56</v>
      </c>
    </row>
    <row r="24" spans="1:10" ht="15.75" x14ac:dyDescent="0.25">
      <c r="A24" s="2">
        <f t="shared" si="1"/>
        <v>23</v>
      </c>
      <c r="B24" s="3">
        <v>45148</v>
      </c>
      <c r="C24" s="4">
        <v>56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21">
        <f t="shared" si="0"/>
        <v>-56</v>
      </c>
    </row>
    <row r="25" spans="1:10" ht="15.75" x14ac:dyDescent="0.25">
      <c r="A25" s="2">
        <f t="shared" si="1"/>
        <v>24</v>
      </c>
      <c r="B25" s="3">
        <v>45153</v>
      </c>
      <c r="C25" s="4">
        <v>56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21">
        <f t="shared" si="0"/>
        <v>-56</v>
      </c>
    </row>
    <row r="26" spans="1:10" ht="15.75" x14ac:dyDescent="0.25">
      <c r="A26" s="2">
        <f t="shared" si="1"/>
        <v>25</v>
      </c>
      <c r="B26" s="3">
        <v>45160</v>
      </c>
      <c r="C26" s="4">
        <v>56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21">
        <f t="shared" si="0"/>
        <v>-56</v>
      </c>
    </row>
    <row r="27" spans="1:10" ht="15.75" x14ac:dyDescent="0.25">
      <c r="A27" s="2">
        <f t="shared" si="1"/>
        <v>26</v>
      </c>
      <c r="B27" s="3">
        <v>45167</v>
      </c>
      <c r="C27" s="4">
        <v>56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21">
        <f t="shared" si="0"/>
        <v>-56</v>
      </c>
    </row>
    <row r="28" spans="1:10" ht="15.75" x14ac:dyDescent="0.25">
      <c r="A28" s="2">
        <f t="shared" si="1"/>
        <v>27</v>
      </c>
      <c r="B28" s="3">
        <v>45174</v>
      </c>
      <c r="C28" s="4">
        <v>56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21">
        <f t="shared" si="0"/>
        <v>-56</v>
      </c>
    </row>
    <row r="29" spans="1:10" ht="15.75" x14ac:dyDescent="0.25">
      <c r="A29" s="2">
        <f t="shared" si="1"/>
        <v>28</v>
      </c>
      <c r="B29" s="3">
        <v>45181</v>
      </c>
      <c r="C29" s="4">
        <v>56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21">
        <f t="shared" si="0"/>
        <v>-56</v>
      </c>
    </row>
    <row r="30" spans="1:10" ht="15.75" x14ac:dyDescent="0.25">
      <c r="A30" s="2">
        <f t="shared" si="1"/>
        <v>29</v>
      </c>
      <c r="B30" s="3">
        <v>45188</v>
      </c>
      <c r="C30" s="4">
        <v>56</v>
      </c>
      <c r="D30" s="4">
        <v>114.71</v>
      </c>
      <c r="E30" s="4">
        <v>11.47</v>
      </c>
      <c r="F30" s="4">
        <v>11.47</v>
      </c>
      <c r="G30" s="4">
        <v>11.47</v>
      </c>
      <c r="H30" s="4">
        <v>11.47</v>
      </c>
      <c r="I30" s="4">
        <v>0</v>
      </c>
      <c r="J30" s="21">
        <f t="shared" si="0"/>
        <v>12.829999999999997</v>
      </c>
    </row>
    <row r="31" spans="1:10" ht="15.75" x14ac:dyDescent="0.25">
      <c r="A31" s="2">
        <f t="shared" si="1"/>
        <v>30</v>
      </c>
      <c r="B31" s="3">
        <v>45195</v>
      </c>
      <c r="C31" s="4">
        <v>56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21">
        <f t="shared" si="0"/>
        <v>-56</v>
      </c>
    </row>
    <row r="32" spans="1:10" ht="15.75" x14ac:dyDescent="0.25">
      <c r="A32" s="2">
        <f t="shared" si="1"/>
        <v>31</v>
      </c>
      <c r="B32" s="3">
        <v>45202</v>
      </c>
      <c r="C32" s="4">
        <v>56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21">
        <f t="shared" si="0"/>
        <v>-56</v>
      </c>
    </row>
    <row r="33" spans="1:10" ht="15.75" x14ac:dyDescent="0.25">
      <c r="A33" s="2">
        <f t="shared" si="1"/>
        <v>32</v>
      </c>
      <c r="B33" s="3">
        <v>45209</v>
      </c>
      <c r="C33" s="4">
        <v>56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21">
        <f t="shared" si="0"/>
        <v>-56</v>
      </c>
    </row>
    <row r="34" spans="1:10" ht="15.75" x14ac:dyDescent="0.25">
      <c r="A34" s="2">
        <f t="shared" si="1"/>
        <v>33</v>
      </c>
      <c r="B34" s="3">
        <v>45216</v>
      </c>
      <c r="C34" s="4">
        <v>56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21">
        <f t="shared" si="0"/>
        <v>-56</v>
      </c>
    </row>
    <row r="35" spans="1:10" ht="15.75" x14ac:dyDescent="0.25">
      <c r="A35" s="2">
        <f t="shared" si="1"/>
        <v>34</v>
      </c>
      <c r="B35" s="3">
        <v>45223</v>
      </c>
      <c r="C35" s="4">
        <v>56</v>
      </c>
      <c r="D35" s="4">
        <v>60.31</v>
      </c>
      <c r="E35" s="4">
        <v>0</v>
      </c>
      <c r="F35" s="4">
        <v>6</v>
      </c>
      <c r="G35" s="4">
        <v>3.02</v>
      </c>
      <c r="H35" s="4">
        <v>3.02</v>
      </c>
      <c r="I35" s="4">
        <v>0</v>
      </c>
      <c r="J35" s="21">
        <f t="shared" si="0"/>
        <v>-7.7299999999999969</v>
      </c>
    </row>
    <row r="36" spans="1:10" ht="15.75" x14ac:dyDescent="0.25">
      <c r="A36" s="2">
        <f t="shared" si="1"/>
        <v>35</v>
      </c>
      <c r="B36" s="3">
        <v>45230</v>
      </c>
      <c r="C36" s="4">
        <v>56</v>
      </c>
      <c r="D36" s="4">
        <v>76.44</v>
      </c>
      <c r="E36" s="4">
        <v>0</v>
      </c>
      <c r="F36" s="4">
        <v>7.64</v>
      </c>
      <c r="G36" s="4">
        <v>7.64</v>
      </c>
      <c r="H36" s="4">
        <v>0</v>
      </c>
      <c r="I36" s="4">
        <v>0</v>
      </c>
      <c r="J36" s="21">
        <f t="shared" si="0"/>
        <v>5.1599999999999975</v>
      </c>
    </row>
    <row r="37" spans="1:10" ht="15.75" x14ac:dyDescent="0.25">
      <c r="A37" s="2">
        <f t="shared" si="1"/>
        <v>36</v>
      </c>
      <c r="B37" s="3">
        <v>45237</v>
      </c>
      <c r="C37" s="4">
        <v>56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21">
        <f t="shared" si="0"/>
        <v>-56</v>
      </c>
    </row>
    <row r="38" spans="1:10" ht="15.75" x14ac:dyDescent="0.25">
      <c r="A38" s="2">
        <f t="shared" si="1"/>
        <v>37</v>
      </c>
      <c r="B38" s="3">
        <v>45240</v>
      </c>
      <c r="C38" s="4">
        <v>56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21">
        <f t="shared" si="0"/>
        <v>-56</v>
      </c>
    </row>
    <row r="39" spans="1:10" ht="15.75" x14ac:dyDescent="0.25">
      <c r="A39" s="2">
        <f t="shared" si="1"/>
        <v>38</v>
      </c>
      <c r="B39" s="3">
        <v>45247</v>
      </c>
      <c r="C39" s="4">
        <v>56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21">
        <f t="shared" si="0"/>
        <v>-56</v>
      </c>
    </row>
    <row r="40" spans="1:10" ht="15.75" x14ac:dyDescent="0.25">
      <c r="A40" s="2">
        <f t="shared" si="1"/>
        <v>39</v>
      </c>
      <c r="B40" s="3">
        <v>45254</v>
      </c>
      <c r="C40" s="4">
        <v>56</v>
      </c>
      <c r="D40" s="4">
        <v>1879.99</v>
      </c>
      <c r="E40" s="4">
        <v>0</v>
      </c>
      <c r="F40" s="4">
        <v>282</v>
      </c>
      <c r="G40" s="4">
        <v>188</v>
      </c>
      <c r="H40" s="4">
        <v>94</v>
      </c>
      <c r="I40" s="4">
        <v>0</v>
      </c>
      <c r="J40" s="21">
        <f t="shared" si="0"/>
        <v>1259.99</v>
      </c>
    </row>
    <row r="41" spans="1:10" ht="15.75" x14ac:dyDescent="0.25">
      <c r="A41" s="2">
        <f t="shared" si="1"/>
        <v>40</v>
      </c>
      <c r="B41" s="3">
        <v>45261</v>
      </c>
      <c r="C41" s="4">
        <v>100.1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21">
        <f t="shared" si="0"/>
        <v>-100.1</v>
      </c>
    </row>
    <row r="42" spans="1:10" ht="15.75" x14ac:dyDescent="0.25">
      <c r="A42" s="2">
        <f t="shared" si="1"/>
        <v>41</v>
      </c>
      <c r="B42" s="3">
        <v>45268</v>
      </c>
      <c r="C42" s="4">
        <v>100.1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21">
        <f t="shared" si="0"/>
        <v>-100.1</v>
      </c>
    </row>
    <row r="43" spans="1:10" ht="15.75" x14ac:dyDescent="0.25">
      <c r="A43" s="2">
        <f t="shared" si="1"/>
        <v>42</v>
      </c>
      <c r="B43" s="3">
        <v>45275</v>
      </c>
      <c r="C43" s="4">
        <v>100.1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21">
        <f t="shared" si="0"/>
        <v>-100.1</v>
      </c>
    </row>
    <row r="44" spans="1:10" ht="15.75" x14ac:dyDescent="0.25">
      <c r="A44" s="2">
        <f t="shared" si="1"/>
        <v>43</v>
      </c>
      <c r="B44" s="3">
        <v>45282</v>
      </c>
      <c r="C44" s="4">
        <v>100.1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21">
        <f t="shared" si="0"/>
        <v>-100.1</v>
      </c>
    </row>
    <row r="45" spans="1:10" ht="15.75" x14ac:dyDescent="0.25">
      <c r="A45" s="2">
        <f t="shared" si="1"/>
        <v>44</v>
      </c>
      <c r="B45" s="3">
        <v>45289</v>
      </c>
      <c r="C45" s="4">
        <v>100.1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21">
        <f t="shared" si="0"/>
        <v>-100.1</v>
      </c>
    </row>
    <row r="46" spans="1:10" ht="15.75" x14ac:dyDescent="0.25">
      <c r="A46" s="2">
        <f t="shared" si="1"/>
        <v>45</v>
      </c>
      <c r="B46" s="3">
        <v>45296</v>
      </c>
      <c r="C46" s="4">
        <v>100.1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21">
        <f t="shared" si="0"/>
        <v>-100.1</v>
      </c>
    </row>
    <row r="47" spans="1:10" ht="15.75" x14ac:dyDescent="0.25">
      <c r="A47" s="2">
        <f t="shared" si="1"/>
        <v>46</v>
      </c>
      <c r="B47" s="3">
        <v>45303</v>
      </c>
      <c r="C47" s="4">
        <v>100.1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21">
        <f t="shared" si="0"/>
        <v>-100.1</v>
      </c>
    </row>
    <row r="48" spans="1:10" ht="15.75" x14ac:dyDescent="0.25">
      <c r="A48" s="2">
        <f t="shared" si="1"/>
        <v>47</v>
      </c>
      <c r="B48" s="3">
        <v>45310</v>
      </c>
      <c r="C48" s="4">
        <v>100.1</v>
      </c>
      <c r="D48" s="4">
        <v>183.51</v>
      </c>
      <c r="E48" s="4">
        <v>27.53</v>
      </c>
      <c r="F48" s="4">
        <v>18.350000000000001</v>
      </c>
      <c r="G48" s="4">
        <v>0</v>
      </c>
      <c r="H48" s="4">
        <v>0</v>
      </c>
      <c r="I48" s="4">
        <v>0</v>
      </c>
      <c r="J48" s="21">
        <f t="shared" si="0"/>
        <v>37.53</v>
      </c>
    </row>
    <row r="49" spans="1:10" ht="15.75" x14ac:dyDescent="0.25">
      <c r="A49" s="2">
        <f t="shared" si="1"/>
        <v>48</v>
      </c>
      <c r="B49" s="3">
        <v>45317</v>
      </c>
      <c r="C49" s="4">
        <v>100.1</v>
      </c>
      <c r="D49" s="4">
        <v>133.78</v>
      </c>
      <c r="E49" s="4">
        <v>20.07</v>
      </c>
      <c r="F49" s="4">
        <v>13.38</v>
      </c>
      <c r="G49" s="4">
        <v>6.69</v>
      </c>
      <c r="H49" s="4">
        <v>0</v>
      </c>
      <c r="I49" s="4">
        <v>0</v>
      </c>
      <c r="J49" s="21">
        <f t="shared" si="0"/>
        <v>-6.4599999999999964</v>
      </c>
    </row>
    <row r="50" spans="1:10" ht="15.75" x14ac:dyDescent="0.25">
      <c r="A50" s="2">
        <f t="shared" si="1"/>
        <v>49</v>
      </c>
      <c r="B50" s="3">
        <v>45324</v>
      </c>
      <c r="C50" s="4">
        <v>100.1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21">
        <f t="shared" si="0"/>
        <v>-100.1</v>
      </c>
    </row>
    <row r="51" spans="1:10" ht="15.75" x14ac:dyDescent="0.25">
      <c r="A51" s="2">
        <f t="shared" si="1"/>
        <v>50</v>
      </c>
      <c r="B51" s="3">
        <v>45331</v>
      </c>
      <c r="C51" s="4">
        <v>100.1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21">
        <f t="shared" si="0"/>
        <v>-100.1</v>
      </c>
    </row>
    <row r="52" spans="1:10" ht="15.75" x14ac:dyDescent="0.25">
      <c r="A52" s="2">
        <f t="shared" si="1"/>
        <v>51</v>
      </c>
      <c r="B52" s="3">
        <v>45338</v>
      </c>
      <c r="C52" s="4">
        <v>100.1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21">
        <f t="shared" si="0"/>
        <v>-100.1</v>
      </c>
    </row>
    <row r="53" spans="1:10" ht="15.75" x14ac:dyDescent="0.25">
      <c r="A53" s="2">
        <f t="shared" si="1"/>
        <v>52</v>
      </c>
      <c r="B53" s="3">
        <v>45345</v>
      </c>
      <c r="C53" s="4">
        <v>100.1</v>
      </c>
      <c r="D53" s="4">
        <v>939.96</v>
      </c>
      <c r="E53" s="4">
        <v>94</v>
      </c>
      <c r="F53" s="4">
        <v>94</v>
      </c>
      <c r="G53" s="4">
        <v>140.99</v>
      </c>
      <c r="H53" s="4">
        <v>47</v>
      </c>
      <c r="I53" s="4">
        <v>0</v>
      </c>
      <c r="J53" s="21">
        <f t="shared" si="0"/>
        <v>463.87</v>
      </c>
    </row>
    <row r="54" spans="1:10" ht="15.75" x14ac:dyDescent="0.25">
      <c r="A54" s="2">
        <f t="shared" si="1"/>
        <v>53</v>
      </c>
      <c r="B54" s="3">
        <v>45352</v>
      </c>
      <c r="C54" s="4">
        <v>100.1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21">
        <f t="shared" si="0"/>
        <v>-100.1</v>
      </c>
    </row>
    <row r="55" spans="1:10" ht="15.75" x14ac:dyDescent="0.25">
      <c r="A55" s="2">
        <f t="shared" si="1"/>
        <v>54</v>
      </c>
      <c r="B55" s="3">
        <v>45359</v>
      </c>
      <c r="C55" s="4">
        <v>100.1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  <c r="J55" s="21">
        <f t="shared" si="0"/>
        <v>-100.1</v>
      </c>
    </row>
    <row r="56" spans="1:10" ht="15.75" x14ac:dyDescent="0.25">
      <c r="A56" s="2">
        <f t="shared" si="1"/>
        <v>55</v>
      </c>
      <c r="B56" s="3">
        <v>45366</v>
      </c>
      <c r="C56" s="4">
        <v>100.1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21">
        <f t="shared" si="0"/>
        <v>-100.1</v>
      </c>
    </row>
    <row r="57" spans="1:10" ht="15.75" x14ac:dyDescent="0.25">
      <c r="A57" s="2">
        <f t="shared" si="1"/>
        <v>56</v>
      </c>
      <c r="B57" s="3">
        <v>45373</v>
      </c>
      <c r="C57" s="4">
        <v>100.1</v>
      </c>
      <c r="D57" s="4">
        <v>2458.64</v>
      </c>
      <c r="E57" s="4">
        <v>245.86</v>
      </c>
      <c r="F57" s="4">
        <v>491.73</v>
      </c>
      <c r="G57" s="4">
        <v>122.93</v>
      </c>
      <c r="H57" s="4">
        <v>0</v>
      </c>
      <c r="I57" s="4">
        <v>0</v>
      </c>
      <c r="J57" s="21">
        <f t="shared" si="0"/>
        <v>1498.0199999999998</v>
      </c>
    </row>
    <row r="58" spans="1:10" ht="15.75" x14ac:dyDescent="0.25">
      <c r="A58" s="2">
        <f t="shared" si="1"/>
        <v>57</v>
      </c>
      <c r="B58" s="3">
        <v>45380</v>
      </c>
      <c r="C58" s="4">
        <v>100.1</v>
      </c>
      <c r="D58" s="4">
        <v>150.46</v>
      </c>
      <c r="E58" s="4">
        <v>15.05</v>
      </c>
      <c r="F58" s="4">
        <v>15.05</v>
      </c>
      <c r="G58" s="4">
        <v>15.05</v>
      </c>
      <c r="H58" s="4">
        <v>7.52</v>
      </c>
      <c r="I58" s="4">
        <v>0</v>
      </c>
      <c r="J58" s="21">
        <f t="shared" si="0"/>
        <v>-2.3099999999999845</v>
      </c>
    </row>
    <row r="59" spans="1:10" ht="15.75" x14ac:dyDescent="0.25">
      <c r="A59" s="2">
        <f t="shared" si="1"/>
        <v>58</v>
      </c>
      <c r="B59" s="3">
        <v>45387</v>
      </c>
      <c r="C59" s="4">
        <v>100.1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21">
        <f t="shared" si="0"/>
        <v>-100.1</v>
      </c>
    </row>
    <row r="60" spans="1:10" ht="15.75" x14ac:dyDescent="0.25">
      <c r="A60" s="2">
        <f t="shared" si="1"/>
        <v>59</v>
      </c>
      <c r="B60" s="3">
        <v>45394</v>
      </c>
      <c r="C60" s="4">
        <v>100.1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21">
        <f t="shared" si="0"/>
        <v>-100.1</v>
      </c>
    </row>
    <row r="61" spans="1:10" ht="15.75" x14ac:dyDescent="0.25">
      <c r="A61" s="2">
        <f t="shared" si="1"/>
        <v>60</v>
      </c>
      <c r="B61" s="3">
        <v>45401</v>
      </c>
      <c r="C61" s="4">
        <v>100.1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21">
        <f t="shared" si="0"/>
        <v>-100.1</v>
      </c>
    </row>
    <row r="62" spans="1:10" ht="15.75" x14ac:dyDescent="0.25">
      <c r="A62" s="2">
        <f t="shared" si="1"/>
        <v>61</v>
      </c>
      <c r="B62" s="3">
        <v>45408</v>
      </c>
      <c r="C62" s="4">
        <v>100.1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21">
        <f t="shared" si="0"/>
        <v>-100.1</v>
      </c>
    </row>
    <row r="63" spans="1:10" ht="15.75" x14ac:dyDescent="0.25">
      <c r="A63" s="2">
        <f t="shared" si="1"/>
        <v>62</v>
      </c>
      <c r="B63" s="3">
        <v>45415</v>
      </c>
      <c r="C63" s="4">
        <v>100.1</v>
      </c>
      <c r="D63" s="4">
        <v>905.98</v>
      </c>
      <c r="E63" s="4">
        <v>45.3</v>
      </c>
      <c r="F63" s="4">
        <v>45.3</v>
      </c>
      <c r="G63" s="4">
        <v>45.3</v>
      </c>
      <c r="H63" s="4">
        <v>45.3</v>
      </c>
      <c r="I63" s="4">
        <v>226.5</v>
      </c>
      <c r="J63" s="21">
        <f t="shared" si="0"/>
        <v>398.18000000000018</v>
      </c>
    </row>
    <row r="64" spans="1:10" ht="15.75" x14ac:dyDescent="0.25">
      <c r="A64" s="2">
        <f t="shared" si="1"/>
        <v>63</v>
      </c>
      <c r="B64" s="3">
        <v>45422</v>
      </c>
      <c r="C64" s="4">
        <v>100.1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21">
        <f t="shared" si="0"/>
        <v>-100.1</v>
      </c>
    </row>
    <row r="65" spans="1:10" ht="15.75" x14ac:dyDescent="0.25">
      <c r="A65" s="2">
        <f t="shared" si="1"/>
        <v>64</v>
      </c>
      <c r="B65" s="3">
        <v>45429</v>
      </c>
      <c r="C65" s="4">
        <v>100.1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21">
        <f t="shared" si="0"/>
        <v>-100.1</v>
      </c>
    </row>
    <row r="66" spans="1:10" ht="15.75" x14ac:dyDescent="0.25">
      <c r="A66" s="2">
        <f t="shared" si="1"/>
        <v>65</v>
      </c>
      <c r="B66" s="3">
        <v>45436</v>
      </c>
      <c r="C66" s="4">
        <v>100.1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21">
        <f t="shared" si="0"/>
        <v>-100.1</v>
      </c>
    </row>
    <row r="67" spans="1:10" ht="15.75" x14ac:dyDescent="0.25">
      <c r="A67" s="2">
        <f t="shared" si="1"/>
        <v>66</v>
      </c>
      <c r="B67" s="3">
        <v>45443</v>
      </c>
      <c r="C67" s="4">
        <v>100.1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21">
        <f t="shared" ref="J67:J124" si="2">D67-C67-F67-E67-G67-H67-I67</f>
        <v>-100.1</v>
      </c>
    </row>
    <row r="68" spans="1:10" ht="15.75" x14ac:dyDescent="0.25">
      <c r="A68" s="2">
        <f t="shared" si="1"/>
        <v>67</v>
      </c>
      <c r="B68" s="3">
        <v>45450</v>
      </c>
      <c r="C68" s="4">
        <v>100.1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21">
        <f t="shared" si="2"/>
        <v>-100.1</v>
      </c>
    </row>
    <row r="69" spans="1:10" ht="15.75" x14ac:dyDescent="0.25">
      <c r="A69" s="2">
        <f t="shared" si="1"/>
        <v>68</v>
      </c>
      <c r="B69" s="3">
        <v>45457</v>
      </c>
      <c r="C69" s="4">
        <v>100.1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  <c r="J69" s="21">
        <f t="shared" si="2"/>
        <v>-100.1</v>
      </c>
    </row>
    <row r="70" spans="1:10" ht="15.75" x14ac:dyDescent="0.25">
      <c r="A70" s="2">
        <f t="shared" ref="A70:A72" si="3">A69+1</f>
        <v>69</v>
      </c>
      <c r="B70" s="3">
        <v>45464</v>
      </c>
      <c r="C70" s="4">
        <v>100.1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21">
        <f t="shared" si="2"/>
        <v>-100.1</v>
      </c>
    </row>
    <row r="71" spans="1:10" ht="15.75" x14ac:dyDescent="0.25">
      <c r="A71" s="2">
        <f t="shared" si="3"/>
        <v>70</v>
      </c>
      <c r="B71" s="3">
        <v>45471</v>
      </c>
      <c r="C71" s="4">
        <v>100.1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21">
        <f t="shared" si="2"/>
        <v>-100.1</v>
      </c>
    </row>
    <row r="72" spans="1:10" ht="15.75" x14ac:dyDescent="0.25">
      <c r="A72" s="2">
        <f t="shared" si="3"/>
        <v>71</v>
      </c>
      <c r="B72" s="3">
        <v>45478</v>
      </c>
      <c r="C72" s="4">
        <v>100.1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21">
        <f t="shared" si="2"/>
        <v>-100.1</v>
      </c>
    </row>
    <row r="73" spans="1:10" ht="15.75" x14ac:dyDescent="0.25">
      <c r="A73" s="2">
        <f t="shared" ref="A73:A75" si="4">A72+1</f>
        <v>72</v>
      </c>
      <c r="B73" s="3">
        <v>45485</v>
      </c>
      <c r="C73" s="4">
        <v>100.1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21">
        <f t="shared" si="2"/>
        <v>-100.1</v>
      </c>
    </row>
    <row r="74" spans="1:10" ht="15.75" x14ac:dyDescent="0.25">
      <c r="A74" s="2">
        <f t="shared" si="4"/>
        <v>73</v>
      </c>
      <c r="B74" s="3">
        <v>45492</v>
      </c>
      <c r="C74" s="4">
        <v>100.1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21">
        <f t="shared" si="2"/>
        <v>-100.1</v>
      </c>
    </row>
    <row r="75" spans="1:10" ht="15.75" x14ac:dyDescent="0.25">
      <c r="A75" s="2">
        <f t="shared" si="4"/>
        <v>74</v>
      </c>
      <c r="B75" s="3">
        <v>45499</v>
      </c>
      <c r="C75" s="4">
        <v>100.1</v>
      </c>
      <c r="D75" s="4">
        <v>928.76</v>
      </c>
      <c r="E75" s="4">
        <v>46.44</v>
      </c>
      <c r="F75" s="4">
        <v>92.88</v>
      </c>
      <c r="G75" s="4">
        <v>46.44</v>
      </c>
      <c r="H75" s="4">
        <v>46.44</v>
      </c>
      <c r="I75" s="4">
        <v>139.31</v>
      </c>
      <c r="J75" s="21">
        <f t="shared" si="2"/>
        <v>457.14999999999981</v>
      </c>
    </row>
    <row r="76" spans="1:10" ht="15.75" x14ac:dyDescent="0.25">
      <c r="A76" s="2">
        <v>75</v>
      </c>
      <c r="B76" s="3">
        <v>45506</v>
      </c>
      <c r="C76" s="4">
        <v>100.1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  <c r="J76" s="21">
        <f t="shared" si="2"/>
        <v>-100.1</v>
      </c>
    </row>
    <row r="77" spans="1:10" ht="15.75" x14ac:dyDescent="0.25">
      <c r="A77" s="2">
        <f>A76+1</f>
        <v>76</v>
      </c>
      <c r="B77" s="3">
        <v>45513</v>
      </c>
      <c r="C77" s="4">
        <v>100.1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  <c r="J77" s="21">
        <f t="shared" si="2"/>
        <v>-100.1</v>
      </c>
    </row>
    <row r="78" spans="1:10" ht="15.75" x14ac:dyDescent="0.25">
      <c r="A78" s="2">
        <f t="shared" ref="A78:A82" si="5">A77+1</f>
        <v>77</v>
      </c>
      <c r="B78" s="3">
        <v>45520</v>
      </c>
      <c r="C78" s="4">
        <v>100.1</v>
      </c>
      <c r="D78" s="4">
        <v>194.7</v>
      </c>
      <c r="E78" s="4">
        <v>0</v>
      </c>
      <c r="F78" s="4">
        <v>29.21</v>
      </c>
      <c r="G78" s="4">
        <v>9.74</v>
      </c>
      <c r="H78" s="4">
        <v>29.21</v>
      </c>
      <c r="I78" s="4">
        <v>9.74</v>
      </c>
      <c r="J78" s="21">
        <f t="shared" si="2"/>
        <v>16.699999999999982</v>
      </c>
    </row>
    <row r="79" spans="1:10" ht="15.75" x14ac:dyDescent="0.25">
      <c r="A79" s="2">
        <f t="shared" si="5"/>
        <v>78</v>
      </c>
      <c r="B79" s="3">
        <v>45527</v>
      </c>
      <c r="C79" s="4">
        <v>100.1</v>
      </c>
      <c r="D79" s="4">
        <v>51.34</v>
      </c>
      <c r="E79" s="4">
        <v>2.57</v>
      </c>
      <c r="F79" s="4">
        <v>2.57</v>
      </c>
      <c r="G79" s="4">
        <v>7.7</v>
      </c>
      <c r="H79" s="4">
        <v>5.13</v>
      </c>
      <c r="I79" s="4">
        <v>2.57</v>
      </c>
      <c r="J79" s="21">
        <f t="shared" si="2"/>
        <v>-69.299999999999983</v>
      </c>
    </row>
    <row r="80" spans="1:10" ht="15.75" x14ac:dyDescent="0.25">
      <c r="A80" s="2">
        <f t="shared" si="5"/>
        <v>79</v>
      </c>
      <c r="B80" s="3">
        <v>45534</v>
      </c>
      <c r="C80" s="4">
        <v>100.1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21">
        <f t="shared" si="2"/>
        <v>-100.1</v>
      </c>
    </row>
    <row r="81" spans="1:10" ht="15.75" x14ac:dyDescent="0.25">
      <c r="A81" s="2">
        <f t="shared" si="5"/>
        <v>80</v>
      </c>
      <c r="B81" s="3">
        <v>45541</v>
      </c>
      <c r="C81" s="4">
        <v>100.1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  <c r="J81" s="21">
        <f t="shared" si="2"/>
        <v>-100.1</v>
      </c>
    </row>
    <row r="82" spans="1:10" ht="15.75" x14ac:dyDescent="0.25">
      <c r="A82" s="2">
        <f t="shared" si="5"/>
        <v>81</v>
      </c>
      <c r="B82" s="3">
        <v>45548</v>
      </c>
      <c r="C82" s="4">
        <v>100.1</v>
      </c>
      <c r="D82" s="4">
        <v>0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  <c r="J82" s="21">
        <f t="shared" si="2"/>
        <v>-100.1</v>
      </c>
    </row>
    <row r="83" spans="1:10" ht="15.75" x14ac:dyDescent="0.25">
      <c r="A83" s="2">
        <f t="shared" ref="A83:A88" si="6">A82+1</f>
        <v>82</v>
      </c>
      <c r="B83" s="3">
        <v>45555</v>
      </c>
      <c r="C83" s="4">
        <v>100.1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  <c r="J83" s="21">
        <f t="shared" si="2"/>
        <v>-100.1</v>
      </c>
    </row>
    <row r="84" spans="1:10" ht="15.75" x14ac:dyDescent="0.25">
      <c r="A84" s="2">
        <f t="shared" si="6"/>
        <v>83</v>
      </c>
      <c r="B84" s="3">
        <v>45562</v>
      </c>
      <c r="C84" s="4">
        <v>100.1</v>
      </c>
      <c r="D84" s="4">
        <v>1068.5</v>
      </c>
      <c r="E84" s="4">
        <v>0</v>
      </c>
      <c r="F84" s="4">
        <v>53.43</v>
      </c>
      <c r="G84" s="4">
        <v>106.85</v>
      </c>
      <c r="H84" s="4">
        <v>106.85</v>
      </c>
      <c r="I84" s="4">
        <v>160.28</v>
      </c>
      <c r="J84" s="21">
        <f t="shared" si="2"/>
        <v>540.99</v>
      </c>
    </row>
    <row r="85" spans="1:10" ht="15.75" x14ac:dyDescent="0.25">
      <c r="A85" s="2">
        <f t="shared" si="6"/>
        <v>84</v>
      </c>
      <c r="B85" s="3">
        <v>45569</v>
      </c>
      <c r="C85" s="4">
        <v>100.1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21">
        <f t="shared" si="2"/>
        <v>-100.1</v>
      </c>
    </row>
    <row r="86" spans="1:10" ht="15.75" x14ac:dyDescent="0.25">
      <c r="A86" s="2">
        <f t="shared" si="6"/>
        <v>85</v>
      </c>
      <c r="B86" s="3">
        <v>45576</v>
      </c>
      <c r="C86" s="4">
        <v>100.1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21">
        <f t="shared" si="2"/>
        <v>-100.1</v>
      </c>
    </row>
    <row r="87" spans="1:10" ht="15.75" x14ac:dyDescent="0.25">
      <c r="A87" s="2">
        <f t="shared" si="6"/>
        <v>86</v>
      </c>
      <c r="B87" s="3">
        <v>45583</v>
      </c>
      <c r="C87" s="4">
        <v>100.1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21">
        <f t="shared" si="2"/>
        <v>-100.1</v>
      </c>
    </row>
    <row r="88" spans="1:10" ht="15.75" x14ac:dyDescent="0.25">
      <c r="A88" s="2">
        <f t="shared" si="6"/>
        <v>87</v>
      </c>
      <c r="B88" s="3">
        <v>45590</v>
      </c>
      <c r="C88" s="4">
        <v>100.1</v>
      </c>
      <c r="D88" s="4">
        <v>0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  <c r="J88" s="21">
        <f t="shared" si="2"/>
        <v>-100.1</v>
      </c>
    </row>
    <row r="89" spans="1:10" ht="15.75" x14ac:dyDescent="0.25">
      <c r="A89" s="2">
        <f>A88+1</f>
        <v>88</v>
      </c>
      <c r="B89" s="3">
        <v>45597</v>
      </c>
      <c r="C89" s="4">
        <v>100.1</v>
      </c>
      <c r="D89" s="4">
        <v>0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  <c r="J89" s="21">
        <f t="shared" si="2"/>
        <v>-100.1</v>
      </c>
    </row>
    <row r="90" spans="1:10" ht="15.75" x14ac:dyDescent="0.25">
      <c r="A90" s="2">
        <f t="shared" ref="A90:A94" si="7">A89+1</f>
        <v>89</v>
      </c>
      <c r="B90" s="3">
        <v>45604</v>
      </c>
      <c r="C90" s="4">
        <v>100.1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  <c r="J90" s="21">
        <f t="shared" si="2"/>
        <v>-100.1</v>
      </c>
    </row>
    <row r="91" spans="1:10" ht="15.75" x14ac:dyDescent="0.25">
      <c r="A91" s="2">
        <f t="shared" si="7"/>
        <v>90</v>
      </c>
      <c r="B91" s="3">
        <v>45611</v>
      </c>
      <c r="C91" s="4">
        <v>100.1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21">
        <f t="shared" si="2"/>
        <v>-100.1</v>
      </c>
    </row>
    <row r="92" spans="1:10" ht="15.75" x14ac:dyDescent="0.25">
      <c r="A92" s="2">
        <f t="shared" si="7"/>
        <v>91</v>
      </c>
      <c r="B92" s="3">
        <v>45618</v>
      </c>
      <c r="C92" s="4">
        <v>100.1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21">
        <f t="shared" si="2"/>
        <v>-100.1</v>
      </c>
    </row>
    <row r="93" spans="1:10" ht="15.75" x14ac:dyDescent="0.25">
      <c r="A93" s="2">
        <f t="shared" si="7"/>
        <v>92</v>
      </c>
      <c r="B93" s="3">
        <v>45625</v>
      </c>
      <c r="C93" s="4">
        <v>100.1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21">
        <f t="shared" si="2"/>
        <v>-100.1</v>
      </c>
    </row>
    <row r="94" spans="1:10" ht="15.75" x14ac:dyDescent="0.25">
      <c r="A94" s="2">
        <f t="shared" si="7"/>
        <v>93</v>
      </c>
      <c r="B94" s="3">
        <v>45632</v>
      </c>
      <c r="C94" s="4">
        <v>100.1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21">
        <f t="shared" si="2"/>
        <v>-100.1</v>
      </c>
    </row>
    <row r="95" spans="1:10" ht="15.75" x14ac:dyDescent="0.25">
      <c r="A95" s="2">
        <f t="shared" ref="A95:A100" si="8">A94+1</f>
        <v>94</v>
      </c>
      <c r="B95" s="3">
        <v>45639</v>
      </c>
      <c r="C95" s="4">
        <v>100.1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  <c r="J95" s="21">
        <f t="shared" si="2"/>
        <v>-100.1</v>
      </c>
    </row>
    <row r="96" spans="1:10" ht="15.75" x14ac:dyDescent="0.25">
      <c r="A96" s="2">
        <f t="shared" si="8"/>
        <v>95</v>
      </c>
      <c r="B96" s="3">
        <v>45646</v>
      </c>
      <c r="C96" s="4">
        <v>100.1</v>
      </c>
      <c r="D96" s="4">
        <v>0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  <c r="J96" s="21">
        <f t="shared" si="2"/>
        <v>-100.1</v>
      </c>
    </row>
    <row r="97" spans="1:10" ht="15.75" x14ac:dyDescent="0.25">
      <c r="A97" s="2">
        <f t="shared" si="8"/>
        <v>96</v>
      </c>
      <c r="B97" s="3">
        <v>45653</v>
      </c>
      <c r="C97" s="4">
        <v>100.1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  <c r="J97" s="21">
        <f t="shared" si="2"/>
        <v>-100.1</v>
      </c>
    </row>
    <row r="98" spans="1:10" ht="15.75" x14ac:dyDescent="0.25">
      <c r="A98" s="2">
        <f t="shared" si="8"/>
        <v>97</v>
      </c>
      <c r="B98" s="3">
        <v>45660</v>
      </c>
      <c r="C98" s="4">
        <v>100.1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21">
        <f t="shared" si="2"/>
        <v>-100.1</v>
      </c>
    </row>
    <row r="99" spans="1:10" ht="15.75" x14ac:dyDescent="0.25">
      <c r="A99" s="2">
        <f t="shared" si="8"/>
        <v>98</v>
      </c>
      <c r="B99" s="3">
        <v>45667</v>
      </c>
      <c r="C99" s="4">
        <v>100.1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21">
        <f t="shared" si="2"/>
        <v>-100.1</v>
      </c>
    </row>
    <row r="100" spans="1:10" ht="15.75" x14ac:dyDescent="0.25">
      <c r="A100" s="2">
        <f t="shared" si="8"/>
        <v>99</v>
      </c>
      <c r="B100" s="3">
        <v>45674</v>
      </c>
      <c r="C100" s="4">
        <v>100.1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21">
        <f t="shared" si="2"/>
        <v>-100.1</v>
      </c>
    </row>
    <row r="101" spans="1:10" ht="15.75" x14ac:dyDescent="0.25">
      <c r="A101" s="2">
        <f t="shared" ref="A101:A106" si="9">A100+1</f>
        <v>100</v>
      </c>
      <c r="B101" s="3">
        <v>45681</v>
      </c>
      <c r="C101" s="4">
        <v>100.1</v>
      </c>
      <c r="D101" s="4">
        <v>105.04</v>
      </c>
      <c r="E101" s="4">
        <v>0</v>
      </c>
      <c r="F101" s="4">
        <v>10.5</v>
      </c>
      <c r="G101" s="4">
        <v>21</v>
      </c>
      <c r="H101" s="4">
        <v>0</v>
      </c>
      <c r="I101" s="4">
        <v>10.5</v>
      </c>
      <c r="J101" s="21">
        <f t="shared" si="2"/>
        <v>-37.059999999999988</v>
      </c>
    </row>
    <row r="102" spans="1:10" ht="15.75" x14ac:dyDescent="0.25">
      <c r="A102" s="2">
        <f t="shared" si="9"/>
        <v>101</v>
      </c>
      <c r="B102" s="3">
        <v>45688</v>
      </c>
      <c r="C102" s="4">
        <v>100.1</v>
      </c>
      <c r="D102" s="4">
        <v>0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  <c r="J102" s="21">
        <f t="shared" si="2"/>
        <v>-100.1</v>
      </c>
    </row>
    <row r="103" spans="1:10" ht="15.75" x14ac:dyDescent="0.25">
      <c r="A103" s="2">
        <f t="shared" si="9"/>
        <v>102</v>
      </c>
      <c r="B103" s="3">
        <v>45695</v>
      </c>
      <c r="C103" s="4">
        <v>100.1</v>
      </c>
      <c r="D103" s="4">
        <v>0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  <c r="J103" s="21">
        <f t="shared" si="2"/>
        <v>-100.1</v>
      </c>
    </row>
    <row r="104" spans="1:10" ht="15.75" x14ac:dyDescent="0.25">
      <c r="A104" s="2">
        <f t="shared" si="9"/>
        <v>103</v>
      </c>
      <c r="B104" s="3">
        <v>45702</v>
      </c>
      <c r="C104" s="4">
        <v>100.1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  <c r="J104" s="21">
        <f t="shared" si="2"/>
        <v>-100.1</v>
      </c>
    </row>
    <row r="105" spans="1:10" ht="15.75" x14ac:dyDescent="0.25">
      <c r="A105" s="2">
        <f t="shared" si="9"/>
        <v>104</v>
      </c>
      <c r="B105" s="3">
        <v>45709</v>
      </c>
      <c r="C105" s="4">
        <v>100.1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21">
        <f t="shared" si="2"/>
        <v>-100.1</v>
      </c>
    </row>
    <row r="106" spans="1:10" ht="15.75" x14ac:dyDescent="0.25">
      <c r="A106" s="2">
        <f t="shared" si="9"/>
        <v>105</v>
      </c>
      <c r="B106" s="3">
        <v>45716</v>
      </c>
      <c r="C106" s="4">
        <v>100.1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21">
        <f t="shared" si="2"/>
        <v>-100.1</v>
      </c>
    </row>
    <row r="107" spans="1:10" ht="15.75" x14ac:dyDescent="0.25">
      <c r="A107" s="2">
        <f t="shared" ref="A107:A112" si="10">A106+1</f>
        <v>106</v>
      </c>
      <c r="B107" s="3">
        <v>45723</v>
      </c>
      <c r="C107" s="4">
        <v>100.1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21">
        <f t="shared" si="2"/>
        <v>-100.1</v>
      </c>
    </row>
    <row r="108" spans="1:10" ht="15.75" x14ac:dyDescent="0.25">
      <c r="A108" s="2">
        <f t="shared" si="10"/>
        <v>107</v>
      </c>
      <c r="B108" s="3">
        <v>45730</v>
      </c>
      <c r="C108" s="4">
        <v>100.1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21">
        <f t="shared" si="2"/>
        <v>-100.1</v>
      </c>
    </row>
    <row r="109" spans="1:10" ht="15.75" x14ac:dyDescent="0.25">
      <c r="A109" s="2">
        <f t="shared" si="10"/>
        <v>108</v>
      </c>
      <c r="B109" s="3">
        <v>45737</v>
      </c>
      <c r="C109" s="4">
        <v>100.1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  <c r="J109" s="21">
        <f t="shared" si="2"/>
        <v>-100.1</v>
      </c>
    </row>
    <row r="110" spans="1:10" ht="15.75" x14ac:dyDescent="0.25">
      <c r="A110" s="2">
        <f t="shared" si="10"/>
        <v>109</v>
      </c>
      <c r="B110" s="3">
        <v>45744</v>
      </c>
      <c r="C110" s="4">
        <v>100.1</v>
      </c>
      <c r="D110" s="4">
        <v>106.33</v>
      </c>
      <c r="E110" s="4">
        <v>0</v>
      </c>
      <c r="F110" s="4">
        <v>10.63</v>
      </c>
      <c r="G110" s="4">
        <v>10.63</v>
      </c>
      <c r="H110" s="4">
        <v>5.32</v>
      </c>
      <c r="I110" s="4">
        <v>15.95</v>
      </c>
      <c r="J110" s="21">
        <f t="shared" si="2"/>
        <v>-36.299999999999997</v>
      </c>
    </row>
    <row r="111" spans="1:10" ht="15.75" x14ac:dyDescent="0.25">
      <c r="A111" s="2">
        <f t="shared" si="10"/>
        <v>110</v>
      </c>
      <c r="B111" s="3">
        <v>45751</v>
      </c>
      <c r="C111" s="4">
        <v>100.1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  <c r="J111" s="21">
        <f t="shared" si="2"/>
        <v>-100.1</v>
      </c>
    </row>
    <row r="112" spans="1:10" ht="15.75" x14ac:dyDescent="0.25">
      <c r="A112" s="2">
        <f t="shared" si="10"/>
        <v>111</v>
      </c>
      <c r="B112" s="3">
        <v>45758</v>
      </c>
      <c r="C112" s="4">
        <v>100.1</v>
      </c>
      <c r="D112" s="4">
        <v>85.49</v>
      </c>
      <c r="E112" s="4">
        <v>0</v>
      </c>
      <c r="F112" s="4">
        <v>8.5500000000000007</v>
      </c>
      <c r="G112" s="4">
        <v>8.5500000000000007</v>
      </c>
      <c r="H112" s="4">
        <v>4.2699999999999996</v>
      </c>
      <c r="I112" s="4">
        <v>12.82</v>
      </c>
      <c r="J112" s="21">
        <f t="shared" si="2"/>
        <v>-48.800000000000004</v>
      </c>
    </row>
    <row r="113" spans="1:10" ht="15.75" x14ac:dyDescent="0.25">
      <c r="A113" s="2">
        <f t="shared" ref="A113:A118" si="11">A112+1</f>
        <v>112</v>
      </c>
      <c r="B113" s="3">
        <v>45765</v>
      </c>
      <c r="C113" s="4">
        <v>100.1</v>
      </c>
      <c r="D113" s="4">
        <v>6032.18</v>
      </c>
      <c r="E113" s="4">
        <v>0</v>
      </c>
      <c r="F113" s="4">
        <v>603.22</v>
      </c>
      <c r="G113" s="4">
        <v>904.83</v>
      </c>
      <c r="H113" s="4">
        <v>301.61</v>
      </c>
      <c r="I113" s="4">
        <v>603.22</v>
      </c>
      <c r="J113" s="21">
        <f t="shared" si="2"/>
        <v>3519.2</v>
      </c>
    </row>
    <row r="114" spans="1:10" ht="15.75" x14ac:dyDescent="0.25">
      <c r="A114" s="2">
        <f t="shared" si="11"/>
        <v>113</v>
      </c>
      <c r="B114" s="3">
        <v>45772</v>
      </c>
      <c r="C114" s="4">
        <v>100.1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  <c r="J114" s="21">
        <f t="shared" si="2"/>
        <v>-100.1</v>
      </c>
    </row>
    <row r="115" spans="1:10" ht="15.75" x14ac:dyDescent="0.25">
      <c r="A115" s="2">
        <f t="shared" si="11"/>
        <v>114</v>
      </c>
      <c r="B115" s="3">
        <v>45779</v>
      </c>
      <c r="C115" s="4">
        <v>100.1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  <c r="J115" s="21">
        <f t="shared" si="2"/>
        <v>-100.1</v>
      </c>
    </row>
    <row r="116" spans="1:10" ht="15.75" x14ac:dyDescent="0.25">
      <c r="A116" s="2">
        <f t="shared" si="11"/>
        <v>115</v>
      </c>
      <c r="B116" s="3">
        <v>45786</v>
      </c>
      <c r="C116" s="4">
        <v>100.1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  <c r="J116" s="21">
        <f t="shared" si="2"/>
        <v>-100.1</v>
      </c>
    </row>
    <row r="117" spans="1:10" ht="15.75" x14ac:dyDescent="0.25">
      <c r="A117" s="2">
        <f t="shared" si="11"/>
        <v>116</v>
      </c>
      <c r="B117" s="3">
        <v>45793</v>
      </c>
      <c r="C117" s="4">
        <v>100.1</v>
      </c>
      <c r="D117" s="4">
        <v>0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  <c r="J117" s="21">
        <f t="shared" si="2"/>
        <v>-100.1</v>
      </c>
    </row>
    <row r="118" spans="1:10" ht="15.75" x14ac:dyDescent="0.25">
      <c r="A118" s="2">
        <f t="shared" si="11"/>
        <v>117</v>
      </c>
      <c r="B118" s="3">
        <v>45800</v>
      </c>
      <c r="C118" s="4">
        <v>100.1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  <c r="J118" s="21">
        <f t="shared" si="2"/>
        <v>-100.1</v>
      </c>
    </row>
    <row r="119" spans="1:10" ht="15.75" x14ac:dyDescent="0.25">
      <c r="A119" s="2">
        <f>A118+1</f>
        <v>118</v>
      </c>
      <c r="B119" s="3">
        <v>45807</v>
      </c>
      <c r="C119" s="4">
        <v>100.1</v>
      </c>
      <c r="D119" s="4">
        <v>231.08</v>
      </c>
      <c r="E119" s="4">
        <v>0</v>
      </c>
      <c r="F119" s="4">
        <v>23.11</v>
      </c>
      <c r="G119" s="4">
        <v>23.11</v>
      </c>
      <c r="H119" s="4">
        <v>11.55</v>
      </c>
      <c r="I119" s="4">
        <v>34.659999999999997</v>
      </c>
      <c r="J119" s="21">
        <f t="shared" si="2"/>
        <v>38.550000000000026</v>
      </c>
    </row>
    <row r="120" spans="1:10" ht="15.75" x14ac:dyDescent="0.25">
      <c r="A120" s="2">
        <f>A119+1</f>
        <v>119</v>
      </c>
      <c r="B120" s="3">
        <v>45814</v>
      </c>
      <c r="C120" s="4">
        <v>100.1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  <c r="J120" s="21">
        <f t="shared" si="2"/>
        <v>-100.1</v>
      </c>
    </row>
    <row r="121" spans="1:10" ht="15.75" x14ac:dyDescent="0.25">
      <c r="A121" s="2">
        <f>A120+1</f>
        <v>120</v>
      </c>
      <c r="B121" s="3">
        <v>45821</v>
      </c>
      <c r="C121" s="4">
        <v>100.1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  <c r="J121" s="21">
        <f t="shared" si="2"/>
        <v>-100.1</v>
      </c>
    </row>
    <row r="122" spans="1:10" ht="15.75" x14ac:dyDescent="0.25">
      <c r="A122" s="2">
        <f>A121+1</f>
        <v>121</v>
      </c>
      <c r="B122" s="3">
        <v>45828</v>
      </c>
      <c r="C122" s="4">
        <v>100.1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  <c r="J122" s="21">
        <f t="shared" si="2"/>
        <v>-100.1</v>
      </c>
    </row>
    <row r="123" spans="1:10" ht="15.75" x14ac:dyDescent="0.25">
      <c r="A123" s="2">
        <f>A122+1</f>
        <v>122</v>
      </c>
      <c r="B123" s="3">
        <v>45835</v>
      </c>
      <c r="C123" s="4">
        <v>100.1</v>
      </c>
      <c r="D123" s="4">
        <v>0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  <c r="J123" s="21">
        <f t="shared" si="2"/>
        <v>-100.1</v>
      </c>
    </row>
    <row r="124" spans="1:10" ht="15.75" x14ac:dyDescent="0.25">
      <c r="A124" s="2">
        <f>A123+1</f>
        <v>123</v>
      </c>
      <c r="B124" s="3">
        <v>45842</v>
      </c>
      <c r="C124" s="4">
        <v>100.1</v>
      </c>
      <c r="D124" s="4">
        <v>0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  <c r="J124" s="21">
        <f t="shared" si="2"/>
        <v>-100.1</v>
      </c>
    </row>
  </sheetData>
  <autoFilter ref="J1:J122" xr:uid="{D1BCF058-FE04-46AA-A705-935E602EA711}"/>
  <pageMargins left="0.7" right="0.7" top="0.78740157499999996" bottom="0.78740157499999996" header="0.3" footer="0.3"/>
  <ignoredErrors>
    <ignoredError sqref="A76" calculatedColumn="1"/>
  </ignoredErrors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2025-07-09T17:20:00Z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