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norma\OneDrive\Desktop\green.rocket.com\"/>
    </mc:Choice>
  </mc:AlternateContent>
  <xr:revisionPtr revIDLastSave="0" documentId="13_ncr:1_{32BD3745-769A-4363-92E4-3EACA8D86657}" xr6:coauthVersionLast="47" xr6:coauthVersionMax="47" xr10:uidLastSave="{00000000-0000-0000-0000-000000000000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1" l="1"/>
  <c r="K5" i="11"/>
  <c r="J5" i="11"/>
  <c r="J27" i="12"/>
  <c r="L27" i="12" s="1"/>
  <c r="J26" i="12"/>
  <c r="L26" i="12" s="1"/>
  <c r="J25" i="12"/>
  <c r="L25" i="12" s="1"/>
  <c r="J24" i="12"/>
  <c r="L24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7" i="12"/>
  <c r="F20" i="12" s="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<sst xmlns="http://schemas.openxmlformats.org/spreadsheetml/2006/main" count="50" uniqueCount="39">
  <si>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</si>
  <si>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</si>
  <si>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</si>
  <si>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</si>
  <si>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</si>
  <si>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</si>
  <si>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</si>
  <si>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</si>
  <si>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</si>
  <si>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</si>
  <si>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</si>
  <si>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</si>
  <si>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</si>
  <si>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</si>
  <si>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</si>
  <si>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</si>
  <si>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</si>
  <si>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</si>
  <si>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</si>
  <si>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</si>
  <si>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</si>
  <si>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</si>
  <si>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</si>
  <si>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</si>
  <si>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+ 1</t>
  </si>
  <si>
    <t>+ 4</t>
  </si>
  <si>
    <t>+ 0</t>
  </si>
  <si>
    <t>+ 3</t>
  </si>
  <si>
    <t>DE002</t>
  </si>
  <si>
    <t>DE001</t>
  </si>
  <si>
    <t>DE004</t>
  </si>
  <si>
    <t>DE003</t>
  </si>
  <si>
    <t xml:space="preserve">+ 4 </t>
  </si>
  <si>
    <t>falsch</t>
  </si>
  <si>
    <t>entlassen</t>
  </si>
  <si>
    <t>Green Rocket</t>
  </si>
  <si>
    <t>GuV Schein</t>
  </si>
  <si>
    <t>Statistik Division 1</t>
  </si>
  <si>
    <t>Stand: 30.03.2025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</si>
</sst>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5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0" totalsRowShown="0" headerRowDxfId="17" dataDxfId="16">
  <autoFilter ref="A1:L110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4" t="s">
        <v>37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5" t="s">
        <v>38</v>
      </c>
      <c r="H6" s="26"/>
      <c r="I6" s="26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6"/>
      <c r="H7" s="26"/>
      <c r="I7" s="26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2" t="s">
        <v>18</v>
      </c>
      <c r="B10" s="22"/>
      <c r="C10" s="22"/>
      <c r="D10" s="22"/>
      <c r="E10" s="22"/>
      <c r="F10" s="22"/>
      <c r="G10" s="22"/>
      <c r="H10" s="22"/>
      <c r="I10" s="22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0" t="s">
        <v>14</v>
      </c>
      <c r="B11" s="20"/>
      <c r="C11" s="20"/>
      <c r="D11" s="20"/>
      <c r="E11" s="20"/>
      <c r="F11" s="20">
        <f>Finanzen!N2</f>
        <v>109</v>
      </c>
      <c r="G11" s="20"/>
      <c r="H11" s="20"/>
      <c r="I11" s="20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0" t="s">
        <v>21</v>
      </c>
      <c r="B12" s="20"/>
      <c r="C12" s="20"/>
      <c r="D12" s="20"/>
      <c r="E12" s="20"/>
      <c r="F12" s="21">
        <f>Finanzen!O2</f>
        <v>19</v>
      </c>
      <c r="G12" s="21"/>
      <c r="H12" s="21"/>
      <c r="I12" s="2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0" t="s">
        <v>22</v>
      </c>
      <c r="B13" s="20"/>
      <c r="C13" s="20"/>
      <c r="D13" s="20"/>
      <c r="E13" s="20"/>
      <c r="F13" s="23">
        <f>Finanzen!P2</f>
        <v>90</v>
      </c>
      <c r="G13" s="23"/>
      <c r="H13" s="23"/>
      <c r="I13" s="2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0" t="s">
        <v>7</v>
      </c>
      <c r="B14" s="20"/>
      <c r="C14" s="20"/>
      <c r="D14" s="20"/>
      <c r="E14" s="20"/>
      <c r="F14" s="20" t="str">
        <f>TEXT(Finanzen!O2/Finanzen!N2,"0,00%")</f>
        <v>17,43%</v>
      </c>
      <c r="G14" s="20"/>
      <c r="H14" s="20"/>
      <c r="I14" s="20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2" t="s">
        <v>19</v>
      </c>
      <c r="B16" s="22"/>
      <c r="C16" s="22"/>
      <c r="D16" s="22"/>
      <c r="E16" s="22"/>
      <c r="F16" s="22"/>
      <c r="G16" s="22"/>
      <c r="H16" s="22"/>
      <c r="I16" s="22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0" t="s">
        <v>11</v>
      </c>
      <c r="B17" s="20"/>
      <c r="C17" s="20"/>
      <c r="D17" s="20"/>
      <c r="E17" s="20"/>
      <c r="F17" s="29">
        <f>SUM(Finanzen!D:D)</f>
        <v>11043.960000000003</v>
      </c>
      <c r="G17" s="29"/>
      <c r="H17" s="29"/>
      <c r="I17" s="2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0" t="s">
        <v>12</v>
      </c>
      <c r="B18" s="20"/>
      <c r="C18" s="20"/>
      <c r="D18" s="20"/>
      <c r="E18" s="20"/>
      <c r="F18" s="29">
        <f>SUM(Finanzen!C:C)</f>
        <v>8855.0000000000146</v>
      </c>
      <c r="G18" s="29"/>
      <c r="H18" s="29"/>
      <c r="I18" s="2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20" t="s">
        <v>13</v>
      </c>
      <c r="B19" s="20"/>
      <c r="C19" s="20"/>
      <c r="D19" s="20"/>
      <c r="E19" s="20"/>
      <c r="F19" s="29">
        <f>F17-F18</f>
        <v>2188.9599999999882</v>
      </c>
      <c r="G19" s="29"/>
      <c r="H19" s="29"/>
      <c r="I19" s="29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20" t="s">
        <v>23</v>
      </c>
      <c r="B20" s="20"/>
      <c r="C20" s="20"/>
      <c r="D20" s="20"/>
      <c r="E20" s="20"/>
      <c r="F20" s="29">
        <f>20000-F17</f>
        <v>8956.0399999999972</v>
      </c>
      <c r="G20" s="29"/>
      <c r="H20" s="29"/>
      <c r="I20" s="29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2" t="s">
        <v>20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8" t="s">
        <v>17</v>
      </c>
      <c r="B23" s="39"/>
      <c r="C23" s="40" t="s">
        <v>5</v>
      </c>
      <c r="D23" s="41"/>
      <c r="E23" s="42"/>
      <c r="F23" s="30" t="s">
        <v>15</v>
      </c>
      <c r="G23" s="31"/>
      <c r="H23" s="30" t="s">
        <v>33</v>
      </c>
      <c r="I23" s="31"/>
      <c r="J23" s="32" t="s">
        <v>16</v>
      </c>
      <c r="K23" s="31"/>
      <c r="L23" s="32" t="s">
        <v>6</v>
      </c>
      <c r="M23" s="31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3">
        <v>1</v>
      </c>
      <c r="B24" s="44"/>
      <c r="C24" s="33" t="s">
        <v>28</v>
      </c>
      <c r="D24" s="34"/>
      <c r="E24" s="35"/>
      <c r="F24" s="14">
        <v>38</v>
      </c>
      <c r="G24" s="12" t="s">
        <v>26</v>
      </c>
      <c r="H24" s="16">
        <v>91</v>
      </c>
      <c r="I24" s="12" t="s">
        <v>32</v>
      </c>
      <c r="J24" s="16">
        <f>F24+H24</f>
        <v>129</v>
      </c>
      <c r="K24" s="12" t="s">
        <v>25</v>
      </c>
      <c r="L24" s="27" t="str">
        <f>TEXT(F24/J24,"0,00%")</f>
        <v>29,46%</v>
      </c>
      <c r="M24" s="28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43">
        <v>2</v>
      </c>
      <c r="B25" s="44"/>
      <c r="C25" s="33" t="s">
        <v>29</v>
      </c>
      <c r="D25" s="34"/>
      <c r="E25" s="35"/>
      <c r="F25" s="14">
        <v>35</v>
      </c>
      <c r="G25" s="12" t="s">
        <v>24</v>
      </c>
      <c r="H25" s="16">
        <v>91</v>
      </c>
      <c r="I25" s="12" t="s">
        <v>27</v>
      </c>
      <c r="J25" s="16">
        <f>F25+H25</f>
        <v>126</v>
      </c>
      <c r="K25" s="12" t="s">
        <v>25</v>
      </c>
      <c r="L25" s="27" t="str">
        <f>TEXT(F25/J25,"0,00%")</f>
        <v>27,78%</v>
      </c>
      <c r="M25" s="28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43">
        <v>3</v>
      </c>
      <c r="B26" s="44"/>
      <c r="C26" s="33" t="s">
        <v>30</v>
      </c>
      <c r="D26" s="34"/>
      <c r="E26" s="35"/>
      <c r="F26" s="14">
        <v>34</v>
      </c>
      <c r="G26" s="12" t="s">
        <v>27</v>
      </c>
      <c r="H26" s="16">
        <v>91</v>
      </c>
      <c r="I26" s="12" t="s">
        <v>24</v>
      </c>
      <c r="J26" s="16">
        <f>F26+H26</f>
        <v>125</v>
      </c>
      <c r="K26" s="12" t="s">
        <v>25</v>
      </c>
      <c r="L26" s="27" t="str">
        <f>TEXT(F26/J26,"0,00%")</f>
        <v>27,20%</v>
      </c>
      <c r="M26" s="28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45">
        <v>4</v>
      </c>
      <c r="B27" s="46"/>
      <c r="C27" s="47" t="s">
        <v>31</v>
      </c>
      <c r="D27" s="48"/>
      <c r="E27" s="49"/>
      <c r="F27" s="15">
        <v>26</v>
      </c>
      <c r="G27" s="13" t="s">
        <v>27</v>
      </c>
      <c r="H27" s="17">
        <v>88</v>
      </c>
      <c r="I27" s="13" t="s">
        <v>24</v>
      </c>
      <c r="J27" s="17">
        <f>F27+H27</f>
        <v>114</v>
      </c>
      <c r="K27" s="13" t="s">
        <v>25</v>
      </c>
      <c r="L27" s="36" t="str">
        <f>TEXT(F27/J27,"0,00%")</f>
        <v>22,81%</v>
      </c>
      <c r="M27" s="37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A26:B26"/>
    <mergeCell ref="C25:E25"/>
    <mergeCell ref="C26:E26"/>
    <mergeCell ref="F23:G23"/>
    <mergeCell ref="L27:M27"/>
    <mergeCell ref="A22:O22"/>
    <mergeCell ref="F14:I14"/>
    <mergeCell ref="A23:B23"/>
    <mergeCell ref="C23:E23"/>
    <mergeCell ref="A19:E19"/>
    <mergeCell ref="A20:E20"/>
    <mergeCell ref="A24:B24"/>
    <mergeCell ref="A25:B25"/>
    <mergeCell ref="A27:B27"/>
    <mergeCell ref="C27:E27"/>
    <mergeCell ref="F17:I17"/>
    <mergeCell ref="F18:I18"/>
    <mergeCell ref="A16:I16"/>
    <mergeCell ref="L26:M26"/>
    <mergeCell ref="F19:I19"/>
    <mergeCell ref="F20:I20"/>
    <mergeCell ref="H23:I23"/>
    <mergeCell ref="L25:M25"/>
    <mergeCell ref="J23:K23"/>
    <mergeCell ref="L23:M23"/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ignoredErrors>
    <ignoredError sqref="K24:K25 G24:G27 I24:I27 K26:K27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0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34</v>
      </c>
      <c r="F1" s="1" t="s">
        <v>29</v>
      </c>
      <c r="G1" s="1" t="s">
        <v>28</v>
      </c>
      <c r="H1" s="1" t="s">
        <v>31</v>
      </c>
      <c r="I1" s="1" t="s">
        <v>30</v>
      </c>
      <c r="J1" s="1" t="s">
        <v>35</v>
      </c>
      <c r="K1" s="1" t="s">
        <v>36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109</v>
      </c>
      <c r="O2" s="5">
        <f>COUNTIF(D:D,"&gt;0")</f>
        <v>19</v>
      </c>
      <c r="P2" s="5">
        <f>COUNTIF(D:D,"0")</f>
        <v>90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>D107-C107</f>
        <v>-100.1</v>
      </c>
      <c r="L107" s="4">
        <f>L106+K107</f>
        <v>2382.9300000000017</v>
      </c>
    </row>
    <row r="108" spans="1:12" ht="15.75" x14ac:dyDescent="0.25">
      <c r="A108" s="2">
        <f>A107+1</f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>D108-C108</f>
        <v>-100.1</v>
      </c>
      <c r="L108" s="4">
        <f>L107+K108</f>
        <v>2282.8300000000017</v>
      </c>
    </row>
    <row r="109" spans="1:12" ht="15.75" x14ac:dyDescent="0.25">
      <c r="A109" s="2">
        <f>A108+1</f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>D109-C109</f>
        <v>-100.1</v>
      </c>
      <c r="L109" s="4">
        <f>L108+K109</f>
        <v>2182.7300000000018</v>
      </c>
    </row>
    <row r="110" spans="1:12" ht="15.75" x14ac:dyDescent="0.25">
      <c r="A110" s="2">
        <f>A109+1</f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>D110-C110</f>
        <v>6.230000000000004</v>
      </c>
      <c r="L110" s="4">
        <f>L109+K110</f>
        <v>2188.9600000000019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2025-03-31T07:08:42Z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