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00000000-0000-0000-0000-000000000000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18" documentId="13_ncr:1_{32BD3745-769A-4363-92E4-3EACA8D86657}" xr6:coauthVersionLast="47" xr6:coauthVersionMax="47" xr10:uidLastSave="{85354AED-54BE-D143-9452-9D77186FF441}"/>
  <bookViews>
    <workbookView xWindow="11895" yWindow="0" windowWidth="12210" windowHeight="12885" xr2:uid="{01A82109-CFE8-4870-8A32-C4C48630416A}"/>
  </bookViews>
  <sheets>
    <sheet name="Dashboard" sheetId="12" r:id="rId1"/>
    <sheet name="Finanzen" sheetId="11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8" i="11" l="1"/>
  <c r="A128" i="11"/>
  <c r="J127" i="11"/>
  <c r="A127" i="11"/>
  <c r="J113" i="11"/>
  <c r="J126" i="11"/>
  <c r="A126" i="11"/>
  <c r="J125" i="11"/>
  <c r="F18" i="12"/>
  <c r="A125" i="11"/>
  <c r="J124" i="11"/>
  <c r="A124" i="11"/>
  <c r="J123" i="11"/>
  <c r="A123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/>
  <c r="J23" i="12"/>
  <c r="L23" i="12"/>
  <c r="J25" i="12"/>
  <c r="L25" i="12"/>
  <c r="J24" i="12"/>
  <c r="L24" i="12"/>
  <c r="N2" i="11"/>
  <c r="F13" i="12"/>
  <c r="M2" i="11"/>
  <c r="F12" i="12"/>
  <c r="A5" i="11"/>
  <c r="A6" i="11"/>
  <c r="A7" i="11"/>
  <c r="A8" i="11"/>
  <c r="A9" i="11"/>
  <c r="A10" i="11"/>
  <c r="A11" i="11"/>
  <c r="A12" i="11"/>
  <c r="A13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L2" i="11"/>
  <c r="F11" i="12"/>
  <c r="F14" i="12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<sst xmlns="http://schemas.openxmlformats.org/spreadsheetml/2006/main" count="46" uniqueCount="34">
  <si>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</si>
  <si>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</si>
  <si>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</si>
  <si>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</si>
  <si>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</si>
  <si>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</si>
  <si>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</si>
  <si>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</si>
  <si>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</si>
  <si>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</si>
  <si>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</si>
  <si>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</si>
  <si>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</si>
  <si>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</si>
  <si>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</si>
  <si>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</si>
  <si>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</si>
  <si>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</si>
  <si>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</si>
  <si>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</si>
  <si>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</si>
  <si>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</si>
  <si>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</si>
  <si>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</si>
  <si>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</si>
  <si>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</si>
  <si>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</si>
  <si>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</si>
  <si>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</si>
  <si>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</si>
  <si>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</si>
  <si>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+ 1</t>
  </si>
  <si>
    <t>+ 3</t>
  </si>
  <si>
    <t>Stand: 07.08.2025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</si>
</sst>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8" totalsRowShown="0" headerRowDxfId="14" dataDxfId="13">
  <autoFilter ref="A1:I128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I40" sqref="I40"/>
    </sheetView>
  </sheetViews>
  <sheetFormatPr defaultColWidth="10.76171875" defaultRowHeight="15" x14ac:dyDescent="0.2"/>
  <cols>
    <col min="1" max="1" width="12.64453125" customWidth="1"/>
    <col min="2" max="3" width="12.5078125" customWidth="1"/>
    <col min="4" max="4" width="12.64453125" customWidth="1"/>
    <col min="5" max="5" width="12.5078125" customWidth="1"/>
    <col min="6" max="6" width="12.64453125" customWidth="1"/>
    <col min="7" max="8" width="12.5078125" customWidth="1"/>
    <col min="9" max="11" width="12.64453125" customWidth="1"/>
    <col min="12" max="14" width="12.5078125" customWidth="1"/>
    <col min="15" max="15" width="12.64453125" customWidth="1"/>
    <col min="16" max="16" width="12.5078125" customWidth="1"/>
    <col min="17" max="17" width="17.08203125" bestFit="1" customWidth="1"/>
    <col min="18" max="18" width="17.21875" bestFit="1" customWidth="1"/>
    <col min="19" max="19" width="5.6484375" customWidth="1"/>
    <col min="20" max="20" width="13.85546875" bestFit="1" customWidth="1"/>
  </cols>
  <sheetData>
    <row r="1" spans="1:24" ht="14.45" customHeight="1" x14ac:dyDescent="0.2">
      <c r="A1" s="18"/>
      <c r="B1" s="18"/>
      <c r="C1" s="48" t="s">
        <v>28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">
      <c r="A2" s="18"/>
      <c r="B2" s="1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">
      <c r="A3" s="18"/>
      <c r="B3" s="1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">
      <c r="A4" s="18"/>
      <c r="B4" s="1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">
      <c r="A5" s="18"/>
      <c r="B5" s="1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">
      <c r="A6" s="18"/>
      <c r="B6" s="18"/>
      <c r="C6" s="18"/>
      <c r="D6" s="18"/>
      <c r="E6" s="18"/>
      <c r="F6" s="18"/>
      <c r="G6" s="49" t="s">
        <v>33</v>
      </c>
      <c r="H6" s="50"/>
      <c r="I6" s="50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45">
      <c r="A7" s="7"/>
      <c r="B7" s="7"/>
      <c r="C7" s="7"/>
      <c r="D7" s="7"/>
      <c r="E7" s="7"/>
      <c r="F7" s="7"/>
      <c r="G7" s="50"/>
      <c r="H7" s="50"/>
      <c r="I7" s="50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">
      <c r="A10" s="46" t="s">
        <v>16</v>
      </c>
      <c r="B10" s="46"/>
      <c r="C10" s="46"/>
      <c r="D10" s="46"/>
      <c r="E10" s="46"/>
      <c r="F10" s="46"/>
      <c r="G10" s="46"/>
      <c r="H10" s="46"/>
      <c r="I10" s="46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7.25" x14ac:dyDescent="0.2">
      <c r="A11" s="45" t="s">
        <v>12</v>
      </c>
      <c r="B11" s="45"/>
      <c r="C11" s="45"/>
      <c r="D11" s="45"/>
      <c r="E11" s="45"/>
      <c r="F11" s="45">
        <f>Finanzen!L2</f>
        <v>127</v>
      </c>
      <c r="G11" s="45"/>
      <c r="H11" s="45"/>
      <c r="I11" s="4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">
      <c r="A12" s="45" t="s">
        <v>19</v>
      </c>
      <c r="B12" s="45"/>
      <c r="C12" s="45"/>
      <c r="D12" s="45"/>
      <c r="E12" s="45"/>
      <c r="F12" s="51">
        <f>Finanzen!M2</f>
        <v>22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7.25" x14ac:dyDescent="0.2">
      <c r="A13" s="45" t="s">
        <v>20</v>
      </c>
      <c r="B13" s="45"/>
      <c r="C13" s="45"/>
      <c r="D13" s="45"/>
      <c r="E13" s="45"/>
      <c r="F13" s="47">
        <f>Finanzen!N2</f>
        <v>105</v>
      </c>
      <c r="G13" s="47"/>
      <c r="H13" s="47"/>
      <c r="I13" s="4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7.25" x14ac:dyDescent="0.2">
      <c r="A14" s="45" t="s">
        <v>6</v>
      </c>
      <c r="B14" s="45"/>
      <c r="C14" s="45"/>
      <c r="D14" s="45"/>
      <c r="E14" s="45"/>
      <c r="F14" s="45" t="str">
        <f>TEXT(Finanzen!M2/Finanzen!L2,"0,00%")</f>
        <v>17,32%</v>
      </c>
      <c r="G14" s="45"/>
      <c r="H14" s="45"/>
      <c r="I14" s="4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7.25" x14ac:dyDescent="0.2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7.25" x14ac:dyDescent="0.2">
      <c r="A16" s="46" t="s">
        <v>17</v>
      </c>
      <c r="B16" s="46"/>
      <c r="C16" s="46"/>
      <c r="D16" s="46"/>
      <c r="E16" s="46"/>
      <c r="F16" s="46"/>
      <c r="G16" s="46"/>
      <c r="H16" s="46"/>
      <c r="I16" s="46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7.25" x14ac:dyDescent="0.7">
      <c r="A17" s="45" t="s">
        <v>10</v>
      </c>
      <c r="B17" s="45"/>
      <c r="C17" s="45"/>
      <c r="D17" s="45"/>
      <c r="E17" s="45"/>
      <c r="F17" s="33">
        <f>SUM(Finanzen!D:D)</f>
        <v>17392.710000000006</v>
      </c>
      <c r="G17" s="33"/>
      <c r="H17" s="33"/>
      <c r="I17" s="33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7.25" x14ac:dyDescent="0.7">
      <c r="A18" s="45" t="s">
        <v>11</v>
      </c>
      <c r="B18" s="45"/>
      <c r="C18" s="45"/>
      <c r="D18" s="45"/>
      <c r="E18" s="45"/>
      <c r="F18" s="33">
        <f>SUM(Finanzen!J:J)</f>
        <v>264.52000000000135</v>
      </c>
      <c r="G18" s="33"/>
      <c r="H18" s="33"/>
      <c r="I18" s="33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7.25" x14ac:dyDescent="0.2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8" thickBot="1" x14ac:dyDescent="0.25">
      <c r="A20" s="46" t="s">
        <v>18</v>
      </c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7"/>
      <c r="Q20" s="7"/>
      <c r="R20" s="7"/>
      <c r="S20" s="7"/>
      <c r="T20" s="7"/>
      <c r="U20" s="7"/>
      <c r="V20" s="7"/>
      <c r="W20" s="7"/>
      <c r="X20" s="7"/>
    </row>
    <row r="21" spans="1:66" ht="47.2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5"/>
      <c r="H21" s="39" t="s">
        <v>26</v>
      </c>
      <c r="I21" s="35"/>
      <c r="J21" s="34" t="s">
        <v>14</v>
      </c>
      <c r="K21" s="35"/>
      <c r="L21" s="34" t="s">
        <v>5</v>
      </c>
      <c r="M21" s="35"/>
      <c r="N21" s="7"/>
      <c r="O21" s="7"/>
      <c r="P21" s="7"/>
      <c r="Q21" s="7"/>
      <c r="R21" s="7"/>
      <c r="S21" s="7"/>
      <c r="T21" s="7"/>
      <c r="U21" s="7"/>
      <c r="V21" s="7"/>
    </row>
    <row r="22" spans="1:66" ht="47.25" x14ac:dyDescent="0.7">
      <c r="A22" s="24">
        <v>1</v>
      </c>
      <c r="B22" s="25"/>
      <c r="C22" s="36" t="s">
        <v>23</v>
      </c>
      <c r="D22" s="37"/>
      <c r="E22" s="38"/>
      <c r="F22" s="14">
        <v>65</v>
      </c>
      <c r="G22" s="12" t="s">
        <v>31</v>
      </c>
      <c r="H22" s="16">
        <v>132</v>
      </c>
      <c r="I22" s="12" t="s">
        <v>32</v>
      </c>
      <c r="J22" s="16">
        <f>F22+H22</f>
        <v>197</v>
      </c>
      <c r="K22" s="12" t="s">
        <v>21</v>
      </c>
      <c r="L22" s="31" t="str">
        <f>TEXT(F22/J22,"0,00%")</f>
        <v>32,99%</v>
      </c>
      <c r="M22" s="32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x14ac:dyDescent="0.7">
      <c r="A23" s="24">
        <v>2</v>
      </c>
      <c r="B23" s="25"/>
      <c r="C23" s="36" t="s">
        <v>22</v>
      </c>
      <c r="D23" s="37"/>
      <c r="E23" s="38"/>
      <c r="F23" s="14">
        <v>52</v>
      </c>
      <c r="G23" s="12" t="s">
        <v>29</v>
      </c>
      <c r="H23" s="16">
        <v>145</v>
      </c>
      <c r="I23" s="12" t="s">
        <v>21</v>
      </c>
      <c r="J23" s="16">
        <f>F23+H23</f>
        <v>197</v>
      </c>
      <c r="K23" s="12" t="s">
        <v>21</v>
      </c>
      <c r="L23" s="31" t="str">
        <f>TEXT(F23/J23,"0,00%")</f>
        <v>26,40%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x14ac:dyDescent="0.7">
      <c r="A24" s="24">
        <v>3</v>
      </c>
      <c r="B24" s="25"/>
      <c r="C24" s="36" t="s">
        <v>24</v>
      </c>
      <c r="D24" s="37"/>
      <c r="E24" s="38"/>
      <c r="F24" s="14">
        <v>52</v>
      </c>
      <c r="G24" s="12" t="s">
        <v>31</v>
      </c>
      <c r="H24" s="16">
        <v>145</v>
      </c>
      <c r="I24" s="12" t="s">
        <v>32</v>
      </c>
      <c r="J24" s="16">
        <f>F24+H24</f>
        <v>197</v>
      </c>
      <c r="K24" s="12" t="s">
        <v>21</v>
      </c>
      <c r="L24" s="31" t="str">
        <f>TEXT(F24/J24,"0,00%")</f>
        <v>26,40%</v>
      </c>
      <c r="M24" s="32"/>
      <c r="N24" s="7"/>
      <c r="O24" s="7"/>
      <c r="P24" s="7"/>
      <c r="Q24" s="7"/>
      <c r="R24" s="7"/>
      <c r="S24" s="7"/>
      <c r="T24" s="7"/>
      <c r="U24" s="7"/>
      <c r="V24" s="7"/>
    </row>
    <row r="25" spans="1:66" ht="48" thickBot="1" x14ac:dyDescent="0.75">
      <c r="A25" s="26">
        <v>4</v>
      </c>
      <c r="B25" s="27"/>
      <c r="C25" s="28" t="s">
        <v>25</v>
      </c>
      <c r="D25" s="29"/>
      <c r="E25" s="30"/>
      <c r="F25" s="15">
        <v>42</v>
      </c>
      <c r="G25" s="13" t="s">
        <v>29</v>
      </c>
      <c r="H25" s="17">
        <v>132</v>
      </c>
      <c r="I25" s="13" t="s">
        <v>21</v>
      </c>
      <c r="J25" s="17">
        <f>F25+H25</f>
        <v>174</v>
      </c>
      <c r="K25" s="13" t="s">
        <v>21</v>
      </c>
      <c r="L25" s="22" t="str">
        <f>TEXT(F25/J25,"0,00%")</f>
        <v>24,14%</v>
      </c>
      <c r="M25" s="23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L25:M25"/>
    <mergeCell ref="A22:B22"/>
    <mergeCell ref="A23:B23"/>
    <mergeCell ref="A25:B25"/>
    <mergeCell ref="C25:E25"/>
    <mergeCell ref="L24:M24"/>
    <mergeCell ref="L23:M23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8"/>
  <sheetViews>
    <sheetView zoomScale="90" zoomScaleNormal="90" workbookViewId="0">
      <pane ySplit="1" topLeftCell="A88" activePane="bottomLeft" state="frozen"/>
      <selection activeCell="C1" sqref="C1"/>
      <selection pane="bottomLeft" activeCell="L104" sqref="L104"/>
    </sheetView>
  </sheetViews>
  <sheetFormatPr defaultColWidth="9.14453125" defaultRowHeight="15" x14ac:dyDescent="0.2"/>
  <cols>
    <col min="1" max="1" width="11.296875" bestFit="1" customWidth="1"/>
    <col min="2" max="2" width="32.5546875" bestFit="1" customWidth="1"/>
    <col min="3" max="3" width="11.97265625" bestFit="1" customWidth="1"/>
    <col min="4" max="4" width="12.64453125" bestFit="1" customWidth="1"/>
    <col min="5" max="5" width="14.52734375" bestFit="1" customWidth="1"/>
    <col min="6" max="6" width="10.76171875" bestFit="1" customWidth="1"/>
    <col min="7" max="7" width="10.22265625" bestFit="1" customWidth="1"/>
    <col min="8" max="9" width="10.76171875" bestFit="1" customWidth="1"/>
    <col min="10" max="10" width="11.97265625" bestFit="1" customWidth="1"/>
    <col min="11" max="11" width="9.28125" bestFit="1" customWidth="1"/>
    <col min="12" max="12" width="13.1796875" bestFit="1" customWidth="1"/>
    <col min="13" max="13" width="11.296875" bestFit="1" customWidth="1"/>
    <col min="15" max="15" width="10.76171875" bestFit="1" customWidth="1"/>
  </cols>
  <sheetData>
    <row r="1" spans="1:15" ht="16.149999999999999" customHeight="1" thickBo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5.75" thickTop="1" x14ac:dyDescent="0.2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127</v>
      </c>
      <c r="M2" s="5">
        <f>COUNTIF(D:D,"&gt;0")</f>
        <v>22</v>
      </c>
      <c r="N2" s="5">
        <f>COUNTIF(D:D,"0")</f>
        <v>105</v>
      </c>
    </row>
    <row r="3" spans="1:15" x14ac:dyDescent="0.2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x14ac:dyDescent="0.2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x14ac:dyDescent="0.2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x14ac:dyDescent="0.2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x14ac:dyDescent="0.2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x14ac:dyDescent="0.2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x14ac:dyDescent="0.2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x14ac:dyDescent="0.2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x14ac:dyDescent="0.2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x14ac:dyDescent="0.2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x14ac:dyDescent="0.2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x14ac:dyDescent="0.2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x14ac:dyDescent="0.2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x14ac:dyDescent="0.2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x14ac:dyDescent="0.2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x14ac:dyDescent="0.2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x14ac:dyDescent="0.2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x14ac:dyDescent="0.2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x14ac:dyDescent="0.2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x14ac:dyDescent="0.2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x14ac:dyDescent="0.2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x14ac:dyDescent="0.2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x14ac:dyDescent="0.2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x14ac:dyDescent="0.2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x14ac:dyDescent="0.2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x14ac:dyDescent="0.2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x14ac:dyDescent="0.2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x14ac:dyDescent="0.2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x14ac:dyDescent="0.2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x14ac:dyDescent="0.2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x14ac:dyDescent="0.2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x14ac:dyDescent="0.2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x14ac:dyDescent="0.2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x14ac:dyDescent="0.2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x14ac:dyDescent="0.2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x14ac:dyDescent="0.2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x14ac:dyDescent="0.2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x14ac:dyDescent="0.2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x14ac:dyDescent="0.2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x14ac:dyDescent="0.2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x14ac:dyDescent="0.2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x14ac:dyDescent="0.2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x14ac:dyDescent="0.2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x14ac:dyDescent="0.2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x14ac:dyDescent="0.2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x14ac:dyDescent="0.2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x14ac:dyDescent="0.2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x14ac:dyDescent="0.2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x14ac:dyDescent="0.2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x14ac:dyDescent="0.2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x14ac:dyDescent="0.2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x14ac:dyDescent="0.2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x14ac:dyDescent="0.2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x14ac:dyDescent="0.2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x14ac:dyDescent="0.2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x14ac:dyDescent="0.2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x14ac:dyDescent="0.2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x14ac:dyDescent="0.2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x14ac:dyDescent="0.2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x14ac:dyDescent="0.2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x14ac:dyDescent="0.2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x14ac:dyDescent="0.2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x14ac:dyDescent="0.2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x14ac:dyDescent="0.2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x14ac:dyDescent="0.2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8" si="2">D67-C67-F67-E67-G67-H67-I67</f>
        <v>-100.1</v>
      </c>
    </row>
    <row r="68" spans="1:10" x14ac:dyDescent="0.2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x14ac:dyDescent="0.2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x14ac:dyDescent="0.2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x14ac:dyDescent="0.2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x14ac:dyDescent="0.2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x14ac:dyDescent="0.2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x14ac:dyDescent="0.2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x14ac:dyDescent="0.2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x14ac:dyDescent="0.2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x14ac:dyDescent="0.2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x14ac:dyDescent="0.2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x14ac:dyDescent="0.2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x14ac:dyDescent="0.2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x14ac:dyDescent="0.2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x14ac:dyDescent="0.2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x14ac:dyDescent="0.2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x14ac:dyDescent="0.2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x14ac:dyDescent="0.2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x14ac:dyDescent="0.2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x14ac:dyDescent="0.2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x14ac:dyDescent="0.2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x14ac:dyDescent="0.2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x14ac:dyDescent="0.2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x14ac:dyDescent="0.2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x14ac:dyDescent="0.2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x14ac:dyDescent="0.2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x14ac:dyDescent="0.2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x14ac:dyDescent="0.2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x14ac:dyDescent="0.2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x14ac:dyDescent="0.2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x14ac:dyDescent="0.2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x14ac:dyDescent="0.2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x14ac:dyDescent="0.2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x14ac:dyDescent="0.2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x14ac:dyDescent="0.2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x14ac:dyDescent="0.2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x14ac:dyDescent="0.2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x14ac:dyDescent="0.2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x14ac:dyDescent="0.2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x14ac:dyDescent="0.2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x14ac:dyDescent="0.2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x14ac:dyDescent="0.2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x14ac:dyDescent="0.2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x14ac:dyDescent="0.2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x14ac:dyDescent="0.2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x14ac:dyDescent="0.2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>D113-C113-F113-E113-G113-H113-I113</f>
        <v>3519.2</v>
      </c>
    </row>
    <row r="114" spans="1:10" x14ac:dyDescent="0.2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x14ac:dyDescent="0.2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x14ac:dyDescent="0.2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x14ac:dyDescent="0.2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x14ac:dyDescent="0.2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x14ac:dyDescent="0.2">
      <c r="A119" s="2">
        <f t="shared" ref="A119:A124" si="12"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x14ac:dyDescent="0.2">
      <c r="A120" s="2">
        <f t="shared" si="12"/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x14ac:dyDescent="0.2">
      <c r="A121" s="2">
        <f t="shared" si="12"/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x14ac:dyDescent="0.2">
      <c r="A122" s="2">
        <f t="shared" si="12"/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x14ac:dyDescent="0.2">
      <c r="A123" s="2">
        <f t="shared" si="12"/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x14ac:dyDescent="0.2">
      <c r="A124" s="2">
        <f t="shared" si="12"/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  <row r="125" spans="1:10" x14ac:dyDescent="0.2">
      <c r="A125" s="2">
        <f>A124+1</f>
        <v>124</v>
      </c>
      <c r="B125" s="3">
        <v>45849</v>
      </c>
      <c r="C125" s="4">
        <v>100.1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21">
        <f t="shared" si="2"/>
        <v>-100.1</v>
      </c>
    </row>
    <row r="126" spans="1:10" x14ac:dyDescent="0.2">
      <c r="A126" s="2">
        <f>A125+1</f>
        <v>125</v>
      </c>
      <c r="B126" s="3">
        <v>45856</v>
      </c>
      <c r="C126" s="4">
        <v>100.1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21">
        <f t="shared" si="2"/>
        <v>-100.1</v>
      </c>
    </row>
    <row r="127" spans="1:10" x14ac:dyDescent="0.2">
      <c r="A127" s="2">
        <f>A126+1</f>
        <v>126</v>
      </c>
      <c r="B127" s="3">
        <v>45863</v>
      </c>
      <c r="C127" s="4">
        <v>100.1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21">
        <f t="shared" si="2"/>
        <v>-100.1</v>
      </c>
    </row>
    <row r="128" spans="1:10" x14ac:dyDescent="0.2">
      <c r="A128" s="2">
        <f>A127+1</f>
        <v>127</v>
      </c>
      <c r="B128" s="3">
        <v>45870</v>
      </c>
      <c r="C128" s="4">
        <v>100.1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Excel iOS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2025-07-28T17:18:11Z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