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65" documentId="13_ncr:1_{CCA05ED5-2A0D-4A8C-B6F5-632FDE30DEDF}" xr6:coauthVersionLast="47" xr6:coauthVersionMax="47" xr10:uidLastSave="{4999205D-FFDD-426A-88DF-763CCC4F402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4" i="20" l="1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3" i="18"/>
  <c r="G47" i="18"/>
  <c r="G22" i="18"/>
  <c r="G21" i="18"/>
  <c r="G20" i="18"/>
  <c r="G14" i="18"/>
  <c r="G17" i="18"/>
  <c r="G43" i="18"/>
  <c r="G46" i="18"/>
  <c r="G25" i="18"/>
  <c r="G48" i="18"/>
  <c r="G35" i="18"/>
  <c r="G29" i="18"/>
  <c r="G37" i="18"/>
  <c r="G38" i="18"/>
  <c r="G42" i="18"/>
  <c r="G54" i="18"/>
  <c r="G16" i="18"/>
  <c r="G44" i="18"/>
  <c r="G34" i="18"/>
  <c r="G15" i="18"/>
  <c r="G12" i="18"/>
  <c r="G53" i="18"/>
  <c r="G36" i="18"/>
  <c r="G40" i="18"/>
  <c r="G41" i="18"/>
  <c r="G51" i="18"/>
  <c r="G52" i="18"/>
  <c r="G28" i="18"/>
  <c r="G33" i="18"/>
  <c r="G45" i="18"/>
  <c r="G13" i="18"/>
  <c r="G32" i="18"/>
  <c r="G27" i="18"/>
  <c r="G30" i="18"/>
  <c r="G31" i="18"/>
  <c r="G50" i="18"/>
  <c r="G39" i="18"/>
  <c r="G19" i="18"/>
  <c r="G49" i="18"/>
  <c r="G24" i="18"/>
  <c r="G18" i="18"/>
  <c r="G26" i="18"/>
  <c r="E12" i="21"/>
</calcChain>
</file>

<file path=xl/sharedStrings.xml><?xml version="1.0" encoding="utf-8"?>
<sst xmlns="http://schemas.openxmlformats.org/spreadsheetml/2006/main" count="370" uniqueCount="48">
  <si>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</si>
  <si>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</si>
  <si>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</si>
  <si>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</si>
  <si>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</si>
  <si>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</si>
  <si>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</si>
  <si>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</si>
  <si>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</si>
  <si>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</si>
  <si>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</si>
  <si>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</si>
  <si>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</si>
  <si>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</si>
  <si>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</si>
  <si>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</si>
  <si>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</si>
  <si>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</si>
  <si>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</si>
  <si>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</si>
  <si>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</si>
  <si>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</si>
  <si>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Irland 2</t>
  </si>
  <si>
    <t>Irland 1</t>
  </si>
  <si>
    <t>Beide treffen &amp; Sieg</t>
  </si>
  <si>
    <t>Argentinien 2</t>
  </si>
  <si>
    <t>Schweden 1</t>
  </si>
  <si>
    <t>Über X Tore &amp; Sieg</t>
  </si>
  <si>
    <t>Japan 1</t>
  </si>
  <si>
    <t>Länderspiel</t>
  </si>
  <si>
    <t>Uruguay 1</t>
  </si>
  <si>
    <t>USA 1</t>
  </si>
  <si>
    <t>Klub-WM</t>
  </si>
  <si>
    <t>Beide treffen &amp; Doppelte Chance</t>
  </si>
  <si>
    <t>Argentinien 1</t>
  </si>
  <si>
    <t>Chile 1</t>
  </si>
  <si>
    <t>Peru 1</t>
  </si>
  <si>
    <t>Norwegen 1</t>
  </si>
  <si>
    <t>Japan 2</t>
  </si>
  <si>
    <t>Südkorea 2</t>
  </si>
  <si>
    <t>Finnland 1</t>
  </si>
  <si>
    <t>Unter X Tore &amp; Sieg</t>
  </si>
  <si>
    <t>Australien</t>
  </si>
  <si>
    <t>Deutschland 2</t>
  </si>
  <si>
    <t>Deutschland 3</t>
  </si>
  <si>
    <t>Schweden 2</t>
  </si>
  <si>
    <t>England 2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</si>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</sst>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54" totalsRowShown="0">
  <autoFilter ref="A11:G54" xr:uid="{C312ECBC-370A-48F5-9745-177D5CBECA62}"/>
  <sortState xmlns:xlrd2="http://schemas.microsoft.com/office/spreadsheetml/2017/richdata2" ref="A12:G54">
    <sortCondition ref="C11:C5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54" totalsRowShown="0">
  <autoFilter ref="A11:G54" xr:uid="{C312ECBC-370A-48F5-9745-177D5CBECA62}"/>
  <sortState xmlns:xlrd2="http://schemas.microsoft.com/office/spreadsheetml/2017/richdata2" ref="A12:G54">
    <sortCondition ref="C11:C5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54"/>
  <sheetViews>
    <sheetView showGridLines="0" tabSelected="1" zoomScaleNormal="100" workbookViewId="0">
      <pane ySplit="11" topLeftCell="A12" activePane="bottomLeft" state="frozen"/>
      <selection pane="bottomLeft" activeCell="E44" sqref="E4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3</v>
      </c>
      <c r="F12">
        <v>2</v>
      </c>
      <c r="G12" s="6">
        <f>ROUND(F12/E12,2)</f>
        <v>0.67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42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27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35</v>
      </c>
      <c r="D16" s="5" t="s">
        <v>19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35</v>
      </c>
      <c r="D17" s="5" t="s">
        <v>41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17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43</v>
      </c>
      <c r="D20" s="5" t="s">
        <v>14</v>
      </c>
      <c r="E20">
        <v>2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43</v>
      </c>
      <c r="D21" s="5" t="s">
        <v>27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44</v>
      </c>
      <c r="D22" s="5" t="s">
        <v>27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46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16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40</v>
      </c>
      <c r="D25" s="5" t="s">
        <v>27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13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23</v>
      </c>
      <c r="D27" s="5" t="s">
        <v>14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23</v>
      </c>
      <c r="D28" s="5" t="s">
        <v>19</v>
      </c>
      <c r="E28">
        <v>2</v>
      </c>
      <c r="F28">
        <v>2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23</v>
      </c>
      <c r="D29" s="5" t="s">
        <v>18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22</v>
      </c>
      <c r="D30" s="5" t="s">
        <v>19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21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21</v>
      </c>
      <c r="D32" s="5" t="s">
        <v>24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28</v>
      </c>
      <c r="D33" s="5" t="s">
        <v>14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28</v>
      </c>
      <c r="D34" s="5" t="s">
        <v>33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38</v>
      </c>
      <c r="D35" s="5" t="s">
        <v>19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32</v>
      </c>
      <c r="D36" s="5" t="s">
        <v>24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32</v>
      </c>
      <c r="D37" s="5" t="s">
        <v>27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32</v>
      </c>
      <c r="D38" s="5" t="s">
        <v>14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20</v>
      </c>
      <c r="D39" s="5" t="s">
        <v>19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29</v>
      </c>
      <c r="D40" s="5" t="s">
        <v>14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29</v>
      </c>
      <c r="D41" s="5" t="s">
        <v>27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37</v>
      </c>
      <c r="D42" s="5" t="s">
        <v>27</v>
      </c>
      <c r="E42">
        <v>2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37</v>
      </c>
      <c r="D43" s="5" t="s">
        <v>14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36</v>
      </c>
      <c r="D44" s="5" t="s">
        <v>19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26</v>
      </c>
      <c r="D45" s="5" t="s">
        <v>27</v>
      </c>
      <c r="E45">
        <v>2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26</v>
      </c>
      <c r="D46" s="5" t="s">
        <v>18</v>
      </c>
      <c r="E46">
        <v>2</v>
      </c>
      <c r="F46">
        <v>1</v>
      </c>
      <c r="G46" s="6">
        <f>ROUND(F46/E46,2)</f>
        <v>0.5</v>
      </c>
    </row>
    <row r="47" spans="1:7" x14ac:dyDescent="0.25">
      <c r="A47" t="s">
        <v>9</v>
      </c>
      <c r="B47" t="s">
        <v>12</v>
      </c>
      <c r="C47" t="s">
        <v>45</v>
      </c>
      <c r="D47" s="5" t="s">
        <v>14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39</v>
      </c>
      <c r="D48" s="5" t="s">
        <v>19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15</v>
      </c>
      <c r="D49" s="5" t="s">
        <v>18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9</v>
      </c>
      <c r="B50" t="s">
        <v>12</v>
      </c>
      <c r="C50" t="s">
        <v>15</v>
      </c>
      <c r="D50" s="5" t="s">
        <v>14</v>
      </c>
      <c r="E50">
        <v>1</v>
      </c>
      <c r="F50">
        <v>1</v>
      </c>
      <c r="G50" s="6">
        <f>ROUND(F50/E50,2)</f>
        <v>1</v>
      </c>
    </row>
    <row r="51" spans="1:7" x14ac:dyDescent="0.25">
      <c r="A51" t="s">
        <v>9</v>
      </c>
      <c r="B51" t="s">
        <v>12</v>
      </c>
      <c r="C51" t="s">
        <v>30</v>
      </c>
      <c r="D51" s="5" t="s">
        <v>19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9</v>
      </c>
      <c r="B52" t="s">
        <v>12</v>
      </c>
      <c r="C52" t="s">
        <v>31</v>
      </c>
      <c r="D52" s="5" t="s">
        <v>14</v>
      </c>
      <c r="E52">
        <v>1</v>
      </c>
      <c r="F52">
        <v>1</v>
      </c>
      <c r="G52" s="6">
        <f>ROUND(F52/E52,2)</f>
        <v>1</v>
      </c>
    </row>
    <row r="53" spans="1:7" x14ac:dyDescent="0.25">
      <c r="A53" t="s">
        <v>9</v>
      </c>
      <c r="B53" t="s">
        <v>12</v>
      </c>
      <c r="C53" t="s">
        <v>31</v>
      </c>
      <c r="D53" s="5" t="s">
        <v>33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9</v>
      </c>
      <c r="B54" t="s">
        <v>12</v>
      </c>
      <c r="C54" t="s">
        <v>31</v>
      </c>
      <c r="D54" s="5" t="s">
        <v>27</v>
      </c>
      <c r="E54">
        <v>2</v>
      </c>
      <c r="F54">
        <v>0</v>
      </c>
      <c r="G54" s="6">
        <f>ROUND(F54/E54,2)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3</v>
      </c>
      <c r="F12">
        <v>2</v>
      </c>
      <c r="G12" s="6">
        <f>ROUND(F12/E12,2)</f>
        <v>0.67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42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27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35</v>
      </c>
      <c r="D16" s="5" t="s">
        <v>19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35</v>
      </c>
      <c r="D17" s="5" t="s">
        <v>41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17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43</v>
      </c>
      <c r="D20" s="5" t="s">
        <v>14</v>
      </c>
      <c r="E20">
        <v>2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43</v>
      </c>
      <c r="D21" s="5" t="s">
        <v>27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44</v>
      </c>
      <c r="D22" s="5" t="s">
        <v>27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46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16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40</v>
      </c>
      <c r="D25" s="5" t="s">
        <v>27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13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23</v>
      </c>
      <c r="D27" s="5" t="s">
        <v>14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23</v>
      </c>
      <c r="D28" s="5" t="s">
        <v>19</v>
      </c>
      <c r="E28">
        <v>2</v>
      </c>
      <c r="F28">
        <v>2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23</v>
      </c>
      <c r="D29" s="5" t="s">
        <v>18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22</v>
      </c>
      <c r="D30" s="5" t="s">
        <v>19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21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21</v>
      </c>
      <c r="D32" s="5" t="s">
        <v>24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28</v>
      </c>
      <c r="D33" s="5" t="s">
        <v>14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28</v>
      </c>
      <c r="D34" s="5" t="s">
        <v>33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38</v>
      </c>
      <c r="D35" s="5" t="s">
        <v>19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32</v>
      </c>
      <c r="D36" s="5" t="s">
        <v>24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32</v>
      </c>
      <c r="D37" s="5" t="s">
        <v>27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32</v>
      </c>
      <c r="D38" s="5" t="s">
        <v>14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20</v>
      </c>
      <c r="D39" s="5" t="s">
        <v>19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29</v>
      </c>
      <c r="D40" s="5" t="s">
        <v>14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29</v>
      </c>
      <c r="D41" s="5" t="s">
        <v>27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37</v>
      </c>
      <c r="D42" s="5" t="s">
        <v>27</v>
      </c>
      <c r="E42">
        <v>2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37</v>
      </c>
      <c r="D43" s="5" t="s">
        <v>14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36</v>
      </c>
      <c r="D44" s="5" t="s">
        <v>19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26</v>
      </c>
      <c r="D45" s="5" t="s">
        <v>27</v>
      </c>
      <c r="E45">
        <v>2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26</v>
      </c>
      <c r="D46" s="5" t="s">
        <v>18</v>
      </c>
      <c r="E46">
        <v>2</v>
      </c>
      <c r="F46">
        <v>1</v>
      </c>
      <c r="G46" s="6">
        <f>ROUND(F46/E46,2)</f>
        <v>0.5</v>
      </c>
    </row>
    <row r="47" spans="1:7" x14ac:dyDescent="0.25">
      <c r="A47" t="s">
        <v>9</v>
      </c>
      <c r="B47" t="s">
        <v>12</v>
      </c>
      <c r="C47" t="s">
        <v>45</v>
      </c>
      <c r="D47" s="5" t="s">
        <v>14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39</v>
      </c>
      <c r="D48" s="5" t="s">
        <v>19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15</v>
      </c>
      <c r="D49" s="5" t="s">
        <v>18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9</v>
      </c>
      <c r="B50" t="s">
        <v>12</v>
      </c>
      <c r="C50" t="s">
        <v>15</v>
      </c>
      <c r="D50" s="5" t="s">
        <v>14</v>
      </c>
      <c r="E50">
        <v>1</v>
      </c>
      <c r="F50">
        <v>1</v>
      </c>
      <c r="G50" s="6">
        <f>ROUND(F50/E50,2)</f>
        <v>1</v>
      </c>
    </row>
    <row r="51" spans="1:7" x14ac:dyDescent="0.25">
      <c r="A51" t="s">
        <v>9</v>
      </c>
      <c r="B51" t="s">
        <v>12</v>
      </c>
      <c r="C51" t="s">
        <v>30</v>
      </c>
      <c r="D51" s="5" t="s">
        <v>19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9</v>
      </c>
      <c r="B52" t="s">
        <v>12</v>
      </c>
      <c r="C52" t="s">
        <v>31</v>
      </c>
      <c r="D52" s="5" t="s">
        <v>14</v>
      </c>
      <c r="E52">
        <v>1</v>
      </c>
      <c r="F52">
        <v>1</v>
      </c>
      <c r="G52" s="6">
        <f>ROUND(F52/E52,2)</f>
        <v>1</v>
      </c>
    </row>
    <row r="53" spans="1:7" x14ac:dyDescent="0.25">
      <c r="A53" t="s">
        <v>9</v>
      </c>
      <c r="B53" t="s">
        <v>12</v>
      </c>
      <c r="C53" t="s">
        <v>31</v>
      </c>
      <c r="D53" s="5" t="s">
        <v>33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9</v>
      </c>
      <c r="B54" t="s">
        <v>12</v>
      </c>
      <c r="C54" t="s">
        <v>31</v>
      </c>
      <c r="D54" s="5" t="s">
        <v>27</v>
      </c>
      <c r="E54">
        <v>2</v>
      </c>
      <c r="F54">
        <v>0</v>
      </c>
      <c r="G54" s="6">
        <f>ROUND(F54/E54,2)</f>
        <v>0</v>
      </c>
    </row>
    <row r="55" spans="1:7" x14ac:dyDescent="0.25">
      <c r="D55" s="5"/>
      <c r="G55" s="6"/>
    </row>
    <row r="56" spans="1:7" x14ac:dyDescent="0.25">
      <c r="G56" s="6"/>
    </row>
    <row r="57" spans="1:7" x14ac:dyDescent="0.25">
      <c r="G57" s="6"/>
    </row>
    <row r="58" spans="1:7" x14ac:dyDescent="0.25">
      <c r="G58" s="6"/>
    </row>
    <row r="59" spans="1:7" x14ac:dyDescent="0.25">
      <c r="D59" s="5"/>
      <c r="G59" s="6"/>
    </row>
    <row r="60" spans="1:7" x14ac:dyDescent="0.25">
      <c r="G60" s="6"/>
    </row>
    <row r="61" spans="1:7" x14ac:dyDescent="0.25">
      <c r="G61" s="6"/>
    </row>
    <row r="62" spans="1:7" x14ac:dyDescent="0.25">
      <c r="G62" s="6"/>
    </row>
    <row r="63" spans="1:7" x14ac:dyDescent="0.25">
      <c r="G63" s="6"/>
    </row>
    <row r="64" spans="1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2025-08-12T18:40:29Z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