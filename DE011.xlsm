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88" documentId="13_ncr:1_{CCA05ED5-2A0D-4A8C-B6F5-632FDE30DEDF}" xr6:coauthVersionLast="47" xr6:coauthVersionMax="47" xr10:uidLastSave="{32593E90-CAC9-41C6-932D-0C5842DF9CBD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6" i="20" l="1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9" i="18"/>
  <c r="G19" i="18"/>
  <c r="G40" i="18"/>
  <c r="G29" i="18"/>
  <c r="G23" i="18"/>
  <c r="G31" i="18"/>
  <c r="G32" i="18"/>
  <c r="G36" i="18"/>
  <c r="G46" i="18"/>
  <c r="G15" i="18"/>
  <c r="G37" i="18"/>
  <c r="G28" i="18"/>
  <c r="G14" i="18"/>
  <c r="G12" i="18"/>
  <c r="G45" i="18"/>
  <c r="G30" i="18"/>
  <c r="G34" i="18"/>
  <c r="G35" i="18"/>
  <c r="G43" i="18"/>
  <c r="G44" i="18"/>
  <c r="G22" i="18"/>
  <c r="G27" i="18"/>
  <c r="G38" i="18"/>
  <c r="G13" i="18"/>
  <c r="G26" i="18"/>
  <c r="G21" i="18"/>
  <c r="G24" i="18"/>
  <c r="G25" i="18"/>
  <c r="G42" i="18"/>
  <c r="G33" i="18"/>
  <c r="G17" i="18"/>
  <c r="G41" i="18"/>
  <c r="G18" i="18"/>
  <c r="G16" i="18"/>
  <c r="G20" i="18"/>
  <c r="E12" i="21"/>
</calcChain>
</file>

<file path=xl/sharedStrings.xml><?xml version="1.0" encoding="utf-8"?>
<sst xmlns="http://schemas.openxmlformats.org/spreadsheetml/2006/main" count="306" uniqueCount="42">
  <si>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</si>
  <si>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</si>
  <si>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</si>
  <si>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</si>
  <si>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</si>
  <si>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</si>
  <si>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</si>
  <si>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</si>
  <si>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</si>
  <si>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</si>
  <si>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</si>
  <si>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</si>
  <si>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</si>
  <si>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</si>
  <si>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</si>
  <si>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</si>
  <si>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</si>
  <si>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</si>
  <si>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</si>
  <si>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</si>
  <si>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</si>
  <si>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</si>
  <si>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</si>
  <si>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</si>
  <si>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</si>
  <si>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</si>
  <si>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</si>
  <si>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</si>
  <si>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</si>
  <si>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Länderspiel</t>
  </si>
  <si>
    <t>Uruguay 1</t>
  </si>
  <si>
    <t>USA 1</t>
  </si>
  <si>
    <t>Klub-WM</t>
  </si>
  <si>
    <t>Beide treffen &amp; Doppelte Chance</t>
  </si>
  <si>
    <t>Argentinien 1</t>
  </si>
  <si>
    <t>Chile 1</t>
  </si>
  <si>
    <t>Peru 1</t>
  </si>
  <si>
    <t>Norwegen 1</t>
  </si>
  <si>
    <t>Japan 2</t>
  </si>
  <si>
    <t>Südkorea 2</t>
  </si>
  <si>
    <t>Finnland 1</t>
  </si>
  <si>
    <t>Stand: 24.07.2025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</si>
</sst>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6" totalsRowShown="0">
  <autoFilter ref="A11:G46" xr:uid="{C312ECBC-370A-48F5-9745-177D5CBECA62}"/>
  <sortState xmlns:xlrd2="http://schemas.microsoft.com/office/spreadsheetml/2017/richdata2" ref="A12:G46">
    <sortCondition ref="C11:C4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6" totalsRowShown="0">
  <autoFilter ref="A11:G46" xr:uid="{C312ECBC-370A-48F5-9745-177D5CBECA62}"/>
  <sortState xmlns:xlrd2="http://schemas.microsoft.com/office/spreadsheetml/2017/richdata2" ref="A12:G46">
    <sortCondition ref="C11:C4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6"/>
  <sheetViews>
    <sheetView showGridLines="0" tabSelected="1" zoomScaleNormal="100" workbookViewId="0">
      <pane ySplit="11" topLeftCell="A12" activePane="bottomLeft" state="frozen"/>
      <selection pane="bottomLeft" activeCell="A34" sqref="A3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35</v>
      </c>
      <c r="D14" s="5" t="s">
        <v>27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19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17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40</v>
      </c>
      <c r="D19" s="5" t="s">
        <v>27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23</v>
      </c>
      <c r="D21" s="5" t="s">
        <v>14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23</v>
      </c>
      <c r="D22" s="5" t="s">
        <v>19</v>
      </c>
      <c r="E22">
        <v>2</v>
      </c>
      <c r="F22">
        <v>2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23</v>
      </c>
      <c r="D23" s="5" t="s">
        <v>18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22</v>
      </c>
      <c r="D24" s="5" t="s">
        <v>19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21</v>
      </c>
      <c r="D26" s="5" t="s">
        <v>24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28</v>
      </c>
      <c r="D27" s="5" t="s">
        <v>14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9</v>
      </c>
      <c r="B28" t="s">
        <v>12</v>
      </c>
      <c r="C28" t="s">
        <v>28</v>
      </c>
      <c r="D28" s="5" t="s">
        <v>33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38</v>
      </c>
      <c r="D29" s="5" t="s">
        <v>19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32</v>
      </c>
      <c r="D30" s="5" t="s">
        <v>24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32</v>
      </c>
      <c r="D31" s="5" t="s">
        <v>27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32</v>
      </c>
      <c r="D32" s="5" t="s">
        <v>14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20</v>
      </c>
      <c r="D33" s="5" t="s">
        <v>19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29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29</v>
      </c>
      <c r="D35" s="5" t="s">
        <v>27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37</v>
      </c>
      <c r="D36" s="5" t="s">
        <v>27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36</v>
      </c>
      <c r="D37" s="5" t="s">
        <v>19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26</v>
      </c>
      <c r="D38" s="5" t="s">
        <v>27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26</v>
      </c>
      <c r="D39" s="5" t="s">
        <v>18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39</v>
      </c>
      <c r="D40" s="5" t="s">
        <v>19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15</v>
      </c>
      <c r="D41" s="5" t="s">
        <v>18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15</v>
      </c>
      <c r="D42" s="5" t="s">
        <v>14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30</v>
      </c>
      <c r="D43" s="5" t="s">
        <v>19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31</v>
      </c>
      <c r="D44" s="5" t="s">
        <v>14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31</v>
      </c>
      <c r="D45" s="5" t="s">
        <v>33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31</v>
      </c>
      <c r="D46" s="5" t="s">
        <v>27</v>
      </c>
      <c r="E46">
        <v>2</v>
      </c>
      <c r="F46">
        <v>0</v>
      </c>
      <c r="G46" s="6">
        <f>ROUND(F46/E46,2)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35</v>
      </c>
      <c r="D14" s="5" t="s">
        <v>27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19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17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40</v>
      </c>
      <c r="D19" s="5" t="s">
        <v>27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13</v>
      </c>
      <c r="D20" s="5" t="s">
        <v>14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23</v>
      </c>
      <c r="D21" s="5" t="s">
        <v>14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23</v>
      </c>
      <c r="D22" s="5" t="s">
        <v>19</v>
      </c>
      <c r="E22">
        <v>2</v>
      </c>
      <c r="F22">
        <v>2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23</v>
      </c>
      <c r="D23" s="5" t="s">
        <v>18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22</v>
      </c>
      <c r="D24" s="5" t="s">
        <v>19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14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21</v>
      </c>
      <c r="D26" s="5" t="s">
        <v>24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28</v>
      </c>
      <c r="D27" s="5" t="s">
        <v>14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9</v>
      </c>
      <c r="B28" t="s">
        <v>12</v>
      </c>
      <c r="C28" t="s">
        <v>28</v>
      </c>
      <c r="D28" s="5" t="s">
        <v>33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38</v>
      </c>
      <c r="D29" s="5" t="s">
        <v>19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32</v>
      </c>
      <c r="D30" s="5" t="s">
        <v>24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32</v>
      </c>
      <c r="D31" s="5" t="s">
        <v>27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32</v>
      </c>
      <c r="D32" s="5" t="s">
        <v>14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20</v>
      </c>
      <c r="D33" s="5" t="s">
        <v>19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29</v>
      </c>
      <c r="D34" s="5" t="s">
        <v>14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29</v>
      </c>
      <c r="D35" s="5" t="s">
        <v>27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37</v>
      </c>
      <c r="D36" s="5" t="s">
        <v>27</v>
      </c>
      <c r="E36">
        <v>2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36</v>
      </c>
      <c r="D37" s="5" t="s">
        <v>19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26</v>
      </c>
      <c r="D38" s="5" t="s">
        <v>27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26</v>
      </c>
      <c r="D39" s="5" t="s">
        <v>18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39</v>
      </c>
      <c r="D40" s="5" t="s">
        <v>19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15</v>
      </c>
      <c r="D41" s="5" t="s">
        <v>18</v>
      </c>
      <c r="E41">
        <v>1</v>
      </c>
      <c r="F41">
        <v>1</v>
      </c>
      <c r="G41" s="6">
        <f>ROUND(F41/E41,2)</f>
        <v>1</v>
      </c>
    </row>
    <row r="42" spans="1:7" x14ac:dyDescent="0.25">
      <c r="A42" t="s">
        <v>9</v>
      </c>
      <c r="B42" t="s">
        <v>12</v>
      </c>
      <c r="C42" t="s">
        <v>15</v>
      </c>
      <c r="D42" s="5" t="s">
        <v>14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30</v>
      </c>
      <c r="D43" s="5" t="s">
        <v>19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9</v>
      </c>
      <c r="B44" t="s">
        <v>12</v>
      </c>
      <c r="C44" t="s">
        <v>31</v>
      </c>
      <c r="D44" s="5" t="s">
        <v>14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9</v>
      </c>
      <c r="B45" t="s">
        <v>12</v>
      </c>
      <c r="C45" t="s">
        <v>31</v>
      </c>
      <c r="D45" s="5" t="s">
        <v>33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31</v>
      </c>
      <c r="D46" s="5" t="s">
        <v>27</v>
      </c>
      <c r="E46">
        <v>2</v>
      </c>
      <c r="F46">
        <v>0</v>
      </c>
      <c r="G46" s="6">
        <f>ROUND(F46/E46,2)</f>
        <v>0</v>
      </c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2025-07-24T07:17:36Z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