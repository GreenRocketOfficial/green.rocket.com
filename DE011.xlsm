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37" documentId="13_ncr:1_{CCA05ED5-2A0D-4A8C-B6F5-632FDE30DEDF}" xr6:coauthVersionLast="47" xr6:coauthVersionMax="47" xr10:uidLastSave="{B2A116F7-AE58-49F6-927E-20DD81AFEA33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0" i="20" l="1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4" i="18"/>
  <c r="G25" i="18"/>
  <c r="G29" i="18"/>
  <c r="G30" i="18"/>
  <c r="G18" i="18"/>
  <c r="G22" i="18"/>
  <c r="G26" i="18"/>
  <c r="G12" i="18"/>
  <c r="G21" i="18"/>
  <c r="G17" i="18"/>
  <c r="G19" i="18"/>
  <c r="G20" i="18"/>
  <c r="G28" i="18"/>
  <c r="G23" i="18"/>
  <c r="G14" i="18"/>
  <c r="G27" i="18"/>
  <c r="G15" i="18"/>
  <c r="G13" i="18"/>
  <c r="G16" i="18"/>
  <c r="E12" i="21"/>
</calcChain>
</file>

<file path=xl/sharedStrings.xml><?xml version="1.0" encoding="utf-8"?>
<sst xmlns="http://schemas.openxmlformats.org/spreadsheetml/2006/main" count="178" uniqueCount="33">
  <si>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</si>
  <si>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</si>
  <si>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</si>
  <si>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</si>
  <si>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</si>
  <si>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</si>
  <si>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</si>
  <si>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</si>
  <si>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DE011 All Time-Trefferquoten</t>
  </si>
  <si>
    <t>DE011</t>
  </si>
  <si>
    <t>DE011 Saison-Trefferquoten</t>
  </si>
  <si>
    <t>DE011 Strategie</t>
  </si>
  <si>
    <t>Fußball</t>
  </si>
  <si>
    <t>Frankreich 1</t>
  </si>
  <si>
    <t>Sieg</t>
  </si>
  <si>
    <t>Türkei 1</t>
  </si>
  <si>
    <t>England 3</t>
  </si>
  <si>
    <t>Deutschland 1</t>
  </si>
  <si>
    <t>HC 1</t>
  </si>
  <si>
    <t>Unentschieden</t>
  </si>
  <si>
    <t>Kroatien 1</t>
  </si>
  <si>
    <t>Italien 1</t>
  </si>
  <si>
    <t>Irland 2</t>
  </si>
  <si>
    <t>Irland 1</t>
  </si>
  <si>
    <t>Beide treffen &amp; Sieg</t>
  </si>
  <si>
    <t>Argentinien 2</t>
  </si>
  <si>
    <t>Schweden 1</t>
  </si>
  <si>
    <t>Über X Tore &amp; Sieg</t>
  </si>
  <si>
    <t>Japan 1</t>
  </si>
  <si>
    <t>Länderspiel</t>
  </si>
  <si>
    <t>Uruguay 1</t>
  </si>
  <si>
    <t>USA 1</t>
  </si>
  <si>
    <t>Stand: 11.06.2025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</si>
</sst>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30" totalsRowShown="0">
  <autoFilter ref="A11:G30" xr:uid="{C312ECBC-370A-48F5-9745-177D5CBECA62}"/>
  <sortState xmlns:xlrd2="http://schemas.microsoft.com/office/spreadsheetml/2017/richdata2" ref="A12:G30">
    <sortCondition ref="C11:C30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30" totalsRowShown="0">
  <autoFilter ref="A11:G30" xr:uid="{C312ECBC-370A-48F5-9745-177D5CBECA62}"/>
  <sortState xmlns:xlrd2="http://schemas.microsoft.com/office/spreadsheetml/2017/richdata2" ref="A12:G30">
    <sortCondition ref="C11:C30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0"/>
  <sheetViews>
    <sheetView showGridLines="0" tabSelected="1" zoomScaleNormal="100" workbookViewId="0">
      <pane ySplit="11" topLeftCell="A12" activePane="bottomLeft" state="frozen"/>
      <selection pane="bottomLeft" activeCell="C24" sqref="C2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25</v>
      </c>
      <c r="D12" s="5" t="s">
        <v>19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17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17</v>
      </c>
      <c r="D14" s="5" t="s">
        <v>19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16</v>
      </c>
      <c r="D15" s="5" t="s">
        <v>14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23</v>
      </c>
      <c r="D17" s="5" t="s">
        <v>14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23</v>
      </c>
      <c r="D18" s="5" t="s">
        <v>19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22</v>
      </c>
      <c r="D19" s="5" t="s">
        <v>19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21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21</v>
      </c>
      <c r="D21" s="5" t="s">
        <v>24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28</v>
      </c>
      <c r="D22" s="5" t="s">
        <v>14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20</v>
      </c>
      <c r="D23" s="5" t="s">
        <v>19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29</v>
      </c>
      <c r="D24" s="5" t="s">
        <v>14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29</v>
      </c>
      <c r="D25" s="5" t="s">
        <v>27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26</v>
      </c>
      <c r="D26" s="5" t="s">
        <v>27</v>
      </c>
      <c r="E26">
        <v>2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15</v>
      </c>
      <c r="D27" s="5" t="s">
        <v>18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15</v>
      </c>
      <c r="D28" s="5" t="s">
        <v>14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30</v>
      </c>
      <c r="D29" s="5" t="s">
        <v>19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31</v>
      </c>
      <c r="D30" s="5" t="s">
        <v>14</v>
      </c>
      <c r="E30">
        <v>1</v>
      </c>
      <c r="F30">
        <v>1</v>
      </c>
      <c r="G30" s="6">
        <f>ROUND(F30/E30,2)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25</v>
      </c>
      <c r="D12" s="5" t="s">
        <v>19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17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17</v>
      </c>
      <c r="D14" s="5" t="s">
        <v>19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16</v>
      </c>
      <c r="D15" s="5" t="s">
        <v>14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23</v>
      </c>
      <c r="D17" s="5" t="s">
        <v>14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23</v>
      </c>
      <c r="D18" s="5" t="s">
        <v>19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22</v>
      </c>
      <c r="D19" s="5" t="s">
        <v>19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21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21</v>
      </c>
      <c r="D21" s="5" t="s">
        <v>24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28</v>
      </c>
      <c r="D22" s="5" t="s">
        <v>14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20</v>
      </c>
      <c r="D23" s="5" t="s">
        <v>19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29</v>
      </c>
      <c r="D24" s="5" t="s">
        <v>14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29</v>
      </c>
      <c r="D25" s="5" t="s">
        <v>27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26</v>
      </c>
      <c r="D26" s="5" t="s">
        <v>27</v>
      </c>
      <c r="E26">
        <v>2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15</v>
      </c>
      <c r="D27" s="5" t="s">
        <v>18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15</v>
      </c>
      <c r="D28" s="5" t="s">
        <v>14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30</v>
      </c>
      <c r="D29" s="5" t="s">
        <v>19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31</v>
      </c>
      <c r="D30" s="5" t="s">
        <v>14</v>
      </c>
      <c r="E30">
        <v>1</v>
      </c>
      <c r="F30">
        <v>1</v>
      </c>
      <c r="G30" s="6">
        <f>ROUND(F30/E30,2)</f>
        <v>1</v>
      </c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2025-06-11T12:38:10Z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