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50" documentId="13_ncr:1_{CCA05ED5-2A0D-4A8C-B6F5-632FDE30DEDF}" xr6:coauthVersionLast="47" xr6:coauthVersionMax="47" xr10:uidLastSave="{1512BC45-1DD1-4C47-8251-26FD379F4F1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9" i="20" l="1"/>
  <c r="G51" i="20"/>
  <c r="G73" i="18"/>
  <c r="G112" i="18"/>
  <c r="G63" i="20"/>
  <c r="G90" i="18"/>
  <c r="G75" i="20"/>
  <c r="G78" i="20"/>
  <c r="G21" i="20"/>
  <c r="G106" i="18"/>
  <c r="G111" i="18"/>
  <c r="G41" i="20"/>
  <c r="G44" i="20"/>
  <c r="G53" i="20"/>
  <c r="G75" i="18"/>
  <c r="G61" i="18"/>
  <c r="G53" i="18"/>
  <c r="G26" i="20"/>
  <c r="G45" i="18"/>
  <c r="G34" i="20"/>
  <c r="G33" i="20"/>
  <c r="E15" i="21"/>
  <c r="E14" i="21"/>
  <c r="E13" i="21"/>
  <c r="E12" i="21"/>
  <c r="G46" i="20"/>
  <c r="G69" i="18"/>
  <c r="G13" i="20"/>
  <c r="G13" i="18"/>
  <c r="G67" i="20"/>
  <c r="G24" i="20"/>
  <c r="G25" i="20"/>
  <c r="G96" i="18"/>
  <c r="G44" i="18"/>
  <c r="G43" i="18"/>
  <c r="G14" i="18"/>
  <c r="G69" i="20"/>
  <c r="G22" i="20"/>
  <c r="G14" i="20"/>
  <c r="G31" i="18"/>
  <c r="G40" i="20"/>
  <c r="G59" i="18"/>
  <c r="G54" i="20"/>
  <c r="G77" i="18"/>
  <c r="G77" i="20"/>
  <c r="G38" i="20"/>
  <c r="G109" i="18"/>
  <c r="G58" i="18"/>
  <c r="G64" i="20"/>
  <c r="G12" i="20"/>
  <c r="G91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2" i="18"/>
  <c r="G34" i="18"/>
  <c r="G33" i="18"/>
  <c r="G35" i="18"/>
  <c r="G36" i="18"/>
  <c r="G38" i="18"/>
  <c r="G39" i="18"/>
  <c r="G40" i="18"/>
  <c r="G41" i="18"/>
  <c r="G42" i="18"/>
  <c r="G37" i="18"/>
  <c r="G46" i="18"/>
  <c r="G47" i="18"/>
  <c r="G49" i="18"/>
  <c r="G48" i="18"/>
  <c r="G50" i="18"/>
  <c r="G51" i="18"/>
  <c r="G52" i="18"/>
  <c r="G54" i="18"/>
  <c r="G55" i="18"/>
  <c r="G56" i="18"/>
  <c r="G57" i="18"/>
  <c r="G60" i="18"/>
  <c r="G62" i="18"/>
  <c r="G66" i="18"/>
  <c r="G63" i="18"/>
  <c r="G64" i="18"/>
  <c r="G65" i="18"/>
  <c r="G67" i="18"/>
  <c r="G68" i="18"/>
  <c r="G70" i="18"/>
  <c r="G71" i="18"/>
  <c r="G72" i="18"/>
  <c r="G74" i="18"/>
  <c r="G76" i="18"/>
  <c r="G78" i="18"/>
  <c r="G79" i="18"/>
  <c r="G80" i="18"/>
  <c r="G81" i="18"/>
  <c r="G82" i="18"/>
  <c r="G85" i="18"/>
  <c r="G84" i="18"/>
  <c r="G86" i="18"/>
  <c r="G83" i="18"/>
  <c r="G87" i="18"/>
  <c r="G88" i="18"/>
  <c r="G89" i="18"/>
  <c r="G92" i="18"/>
  <c r="G94" i="18"/>
  <c r="G93" i="18"/>
  <c r="G95" i="18"/>
  <c r="G97" i="18"/>
  <c r="G98" i="18"/>
  <c r="G99" i="18"/>
  <c r="G100" i="18"/>
  <c r="G103" i="18"/>
  <c r="G101" i="18"/>
  <c r="G104" i="18"/>
  <c r="G102" i="18"/>
  <c r="G105" i="18"/>
  <c r="G107" i="18"/>
  <c r="G108" i="18"/>
  <c r="G110" i="18"/>
  <c r="G17" i="20"/>
  <c r="G16" i="20"/>
  <c r="G15" i="20"/>
  <c r="G18" i="20"/>
  <c r="G19" i="20"/>
  <c r="G20" i="20"/>
  <c r="G23" i="20"/>
  <c r="G27" i="20"/>
  <c r="G28" i="20"/>
  <c r="G29" i="20"/>
  <c r="G30" i="20"/>
  <c r="G32" i="20"/>
  <c r="G31" i="20"/>
  <c r="G36" i="20"/>
  <c r="G35" i="20"/>
  <c r="G37" i="20"/>
  <c r="G39" i="20"/>
  <c r="G42" i="20"/>
  <c r="G43" i="20"/>
  <c r="G45" i="20"/>
  <c r="G49" i="20"/>
  <c r="G47" i="20"/>
  <c r="G48" i="20"/>
  <c r="G50" i="20"/>
  <c r="G52" i="20"/>
  <c r="G55" i="20"/>
  <c r="G56" i="20"/>
  <c r="G57" i="20"/>
  <c r="G60" i="20"/>
  <c r="G58" i="20"/>
  <c r="G62" i="20"/>
  <c r="G59" i="20"/>
  <c r="G61" i="20"/>
  <c r="G65" i="20"/>
  <c r="G66" i="20"/>
  <c r="G68" i="20"/>
  <c r="G70" i="20"/>
  <c r="G71" i="20"/>
  <c r="G72" i="20"/>
  <c r="G73" i="20"/>
  <c r="G74" i="20"/>
  <c r="G76" i="20"/>
</calcChain>
</file>

<file path=xl/sharedStrings.xml><?xml version="1.0" encoding="utf-8"?>
<sst xmlns="http://schemas.openxmlformats.org/spreadsheetml/2006/main" count="709" uniqueCount="88">
  <si>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</si>
  <si>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</si>
  <si>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</si>
  <si>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</si>
  <si>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</si>
  <si>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</si>
  <si>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</si>
  <si>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</si>
  <si>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</si>
  <si>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</si>
  <si>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</si>
  <si>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</si>
  <si>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</si>
  <si>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</si>
  <si>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</si>
  <si>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</si>
  <si>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</si>
  <si>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</si>
  <si>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</si>
  <si>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</si>
  <si>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</si>
  <si>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</si>
  <si>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</si>
  <si>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</si>
  <si>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</si>
  <si>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</si>
  <si>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</si>
  <si>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</si>
  <si>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</si>
  <si>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</si>
  <si>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</si>
  <si>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</si>
  <si>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</si>
  <si>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</si>
  <si>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</si>
  <si>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</si>
  <si>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</si>
  <si>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</si>
  <si>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</si>
  <si>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</si>
  <si>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</si>
  <si>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</si>
  <si>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</si>
  <si>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</si>
  <si>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</si>
  <si>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</si>
  <si>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</si>
  <si>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</si>
  <si>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</si>
  <si>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</si>
  <si>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</si>
  <si>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</si>
  <si>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</si>
  <si>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</si>
  <si>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</si>
  <si>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</si>
  <si>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</si>
  <si>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</si>
  <si>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</si>
  <si>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</si>
  <si>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</si>
  <si>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</si>
  <si>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</si>
  <si>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</si>
  <si>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</si>
  <si>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</si>
  <si>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</si>
  <si>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</si>
  <si>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</si>
  <si>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</si>
  <si>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</si>
  <si>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</si>
  <si>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</si>
  <si>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</si>
  <si>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</si>
  <si>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</si>
  <si>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</si>
  <si>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</si>
  <si>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</si>
  <si>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</si>
  <si>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</si>
  <si>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</si>
  <si>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</si>
  <si>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</si>
  <si>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Beide treffen</t>
  </si>
  <si>
    <t>Island 1</t>
  </si>
  <si>
    <t>Stand: 17.06.2025</t>
  </si>
  <si>
    <t>U21 Länderspiel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</si>
</sst>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2" totalsRowShown="0">
  <autoFilter ref="A11:G112" xr:uid="{C312ECBC-370A-48F5-9745-177D5CBECA62}"/>
  <sortState xmlns:xlrd2="http://schemas.microsoft.com/office/spreadsheetml/2017/richdata2" ref="A12:G112">
    <sortCondition ref="C11:C11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9" totalsRowShown="0">
  <autoFilter ref="A11:G79" xr:uid="{C312ECBC-370A-48F5-9745-177D5CBECA62}"/>
  <sortState xmlns:xlrd2="http://schemas.microsoft.com/office/spreadsheetml/2017/richdata2" ref="A12:G79">
    <sortCondition ref="C11:C7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2"/>
  <sheetViews>
    <sheetView showGridLines="0" tabSelected="1" zoomScaleNormal="100" workbookViewId="0">
      <pane ySplit="11" topLeftCell="A12" activePane="bottomLeft" state="frozen"/>
      <selection pane="bottomLeft" activeCell="C117" sqref="C1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>ROUND(F20/E20,2)</f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>ROUND(F21/E21,2)</f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>ROUND(F23/E23,2)</f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>ROUND(F25/E25,2)</f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73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73</v>
      </c>
      <c r="B33" t="s">
        <v>4</v>
      </c>
      <c r="C33" t="s">
        <v>14</v>
      </c>
      <c r="D33" t="s">
        <v>21</v>
      </c>
      <c r="E33">
        <v>18</v>
      </c>
      <c r="F33">
        <v>8</v>
      </c>
      <c r="G33" s="6">
        <f>ROUND(F33/E33,2)</f>
        <v>0.44</v>
      </c>
    </row>
    <row r="34" spans="1:7" x14ac:dyDescent="0.25">
      <c r="A34" t="s">
        <v>73</v>
      </c>
      <c r="B34" t="s">
        <v>4</v>
      </c>
      <c r="C34" t="s">
        <v>14</v>
      </c>
      <c r="D34" t="s">
        <v>5</v>
      </c>
      <c r="E34">
        <v>23</v>
      </c>
      <c r="F34">
        <v>6</v>
      </c>
      <c r="G34" s="6">
        <f>ROUND(F34/E34,2)</f>
        <v>0.26</v>
      </c>
    </row>
    <row r="35" spans="1:7" x14ac:dyDescent="0.25">
      <c r="A35" t="s">
        <v>73</v>
      </c>
      <c r="B35" t="s">
        <v>4</v>
      </c>
      <c r="C35" t="s">
        <v>14</v>
      </c>
      <c r="D35" t="s">
        <v>31</v>
      </c>
      <c r="E35">
        <v>25</v>
      </c>
      <c r="F35">
        <v>3</v>
      </c>
      <c r="G35" s="6">
        <f>ROUND(F35/E35,2)</f>
        <v>0.12</v>
      </c>
    </row>
    <row r="36" spans="1:7" x14ac:dyDescent="0.25">
      <c r="A36" t="s">
        <v>73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73</v>
      </c>
      <c r="B37" t="s">
        <v>4</v>
      </c>
      <c r="C37" t="s">
        <v>14</v>
      </c>
      <c r="D37" s="5" t="s">
        <v>9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73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73</v>
      </c>
      <c r="B39" t="s">
        <v>4</v>
      </c>
      <c r="C39" t="s">
        <v>14</v>
      </c>
      <c r="D39" t="s">
        <v>58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48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55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47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73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66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56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73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>ROUND(F46/E46,2)</f>
        <v>0.6</v>
      </c>
    </row>
    <row r="47" spans="1:7" x14ac:dyDescent="0.25">
      <c r="A47" t="s">
        <v>73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>ROUND(F47/E47,2)</f>
        <v>0.18</v>
      </c>
    </row>
    <row r="48" spans="1:7" x14ac:dyDescent="0.25">
      <c r="A48" t="s">
        <v>73</v>
      </c>
      <c r="B48" t="s">
        <v>4</v>
      </c>
      <c r="C48" t="s">
        <v>7</v>
      </c>
      <c r="D48" t="s">
        <v>66</v>
      </c>
      <c r="E48">
        <v>4</v>
      </c>
      <c r="F48">
        <v>2</v>
      </c>
      <c r="G48" s="6">
        <f>ROUND(F48/E48,2)</f>
        <v>0.5</v>
      </c>
    </row>
    <row r="49" spans="1:7" x14ac:dyDescent="0.25">
      <c r="A49" t="s">
        <v>73</v>
      </c>
      <c r="B49" t="s">
        <v>4</v>
      </c>
      <c r="C49" t="s">
        <v>7</v>
      </c>
      <c r="D49" t="s">
        <v>31</v>
      </c>
      <c r="E49">
        <v>6</v>
      </c>
      <c r="F49">
        <v>1</v>
      </c>
      <c r="G49" s="6">
        <f>ROUND(F49/E49,2)</f>
        <v>0.17</v>
      </c>
    </row>
    <row r="50" spans="1:7" x14ac:dyDescent="0.25">
      <c r="A50" t="s">
        <v>73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73</v>
      </c>
      <c r="B51" t="s">
        <v>4</v>
      </c>
      <c r="C51" t="s">
        <v>6</v>
      </c>
      <c r="D51" s="5" t="s">
        <v>21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52</v>
      </c>
      <c r="D52" t="s">
        <v>5</v>
      </c>
      <c r="E52">
        <v>2</v>
      </c>
      <c r="F52">
        <v>1</v>
      </c>
      <c r="G52" s="6">
        <f>ROUND(F52/E52,2)</f>
        <v>0.5</v>
      </c>
    </row>
    <row r="53" spans="1:7" x14ac:dyDescent="0.25">
      <c r="A53" t="s">
        <v>73</v>
      </c>
      <c r="B53" t="s">
        <v>4</v>
      </c>
      <c r="C53" t="s">
        <v>13</v>
      </c>
      <c r="D53" s="5" t="s">
        <v>83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13</v>
      </c>
      <c r="D54" t="s">
        <v>21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31</v>
      </c>
      <c r="E55">
        <v>6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56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13</v>
      </c>
      <c r="D57" s="5" t="s">
        <v>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57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11</v>
      </c>
      <c r="D60" s="5" t="s">
        <v>21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45</v>
      </c>
      <c r="D61" s="5" t="s">
        <v>21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23</v>
      </c>
      <c r="D63" t="s">
        <v>21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73</v>
      </c>
      <c r="B64" t="s">
        <v>4</v>
      </c>
      <c r="C64" t="s">
        <v>23</v>
      </c>
      <c r="D64" t="s">
        <v>55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73</v>
      </c>
      <c r="B65" t="s">
        <v>4</v>
      </c>
      <c r="C65" t="s">
        <v>23</v>
      </c>
      <c r="D65" t="s">
        <v>31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67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24</v>
      </c>
      <c r="C68" t="s">
        <v>25</v>
      </c>
      <c r="D68" t="s">
        <v>5</v>
      </c>
      <c r="E68">
        <v>10</v>
      </c>
      <c r="F68">
        <v>2</v>
      </c>
      <c r="G68" s="6">
        <f>ROUND(F68/E68,2)</f>
        <v>0.2</v>
      </c>
    </row>
    <row r="69" spans="1:7" x14ac:dyDescent="0.25">
      <c r="A69" t="s">
        <v>73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73</v>
      </c>
      <c r="B70" t="s">
        <v>4</v>
      </c>
      <c r="C70" t="s">
        <v>25</v>
      </c>
      <c r="D70" s="5" t="s">
        <v>21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25</v>
      </c>
      <c r="D71" s="5" t="s">
        <v>9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33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85</v>
      </c>
      <c r="D73" s="5" t="s">
        <v>5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16</v>
      </c>
      <c r="D74" t="s">
        <v>5</v>
      </c>
      <c r="E74">
        <v>8</v>
      </c>
      <c r="F74">
        <v>2</v>
      </c>
      <c r="G74" s="6">
        <f>ROUND(F74/E74,2)</f>
        <v>0.25</v>
      </c>
    </row>
    <row r="75" spans="1:7" x14ac:dyDescent="0.25">
      <c r="A75" t="s">
        <v>73</v>
      </c>
      <c r="B75" t="s">
        <v>4</v>
      </c>
      <c r="C75" t="s">
        <v>16</v>
      </c>
      <c r="D75" s="5" t="s">
        <v>83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16</v>
      </c>
      <c r="D76" t="s">
        <v>21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46</v>
      </c>
      <c r="D77" s="5" t="s">
        <v>5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73</v>
      </c>
      <c r="B78" t="s">
        <v>4</v>
      </c>
      <c r="C78" t="s">
        <v>27</v>
      </c>
      <c r="D78" t="s">
        <v>5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53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61</v>
      </c>
      <c r="D80" s="5" t="s">
        <v>31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73</v>
      </c>
      <c r="B81" t="s">
        <v>4</v>
      </c>
      <c r="C81" t="s">
        <v>49</v>
      </c>
      <c r="D81" t="s">
        <v>5</v>
      </c>
      <c r="E81">
        <v>8</v>
      </c>
      <c r="F81">
        <v>4</v>
      </c>
      <c r="G81" s="6">
        <f>ROUND(F81/E81,2)</f>
        <v>0.5</v>
      </c>
    </row>
    <row r="82" spans="1:7" x14ac:dyDescent="0.25">
      <c r="A82" t="s">
        <v>73</v>
      </c>
      <c r="B82" t="s">
        <v>4</v>
      </c>
      <c r="C82" t="s">
        <v>62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73</v>
      </c>
      <c r="B83" t="s">
        <v>4</v>
      </c>
      <c r="C83" t="s">
        <v>17</v>
      </c>
      <c r="D83" t="s">
        <v>37</v>
      </c>
      <c r="E83">
        <v>10</v>
      </c>
      <c r="F83">
        <v>2</v>
      </c>
      <c r="G83" s="6">
        <f>ROUND(F83/E83,2)</f>
        <v>0.2</v>
      </c>
    </row>
    <row r="84" spans="1:7" x14ac:dyDescent="0.25">
      <c r="A84" t="s">
        <v>73</v>
      </c>
      <c r="B84" t="s">
        <v>4</v>
      </c>
      <c r="C84" t="s">
        <v>17</v>
      </c>
      <c r="D84" t="s">
        <v>21</v>
      </c>
      <c r="E84">
        <v>3</v>
      </c>
      <c r="F84">
        <v>1</v>
      </c>
      <c r="G84" s="6">
        <f>ROUND(F84/E84,2)</f>
        <v>0.33</v>
      </c>
    </row>
    <row r="85" spans="1:7" x14ac:dyDescent="0.25">
      <c r="A85" t="s">
        <v>73</v>
      </c>
      <c r="B85" t="s">
        <v>4</v>
      </c>
      <c r="C85" t="s">
        <v>17</v>
      </c>
      <c r="D85" t="s">
        <v>5</v>
      </c>
      <c r="E85">
        <v>4</v>
      </c>
      <c r="F85">
        <v>2</v>
      </c>
      <c r="G85" s="6">
        <f>ROUND(F85/E85,2)</f>
        <v>0.5</v>
      </c>
    </row>
    <row r="86" spans="1:7" x14ac:dyDescent="0.25">
      <c r="A86" t="s">
        <v>73</v>
      </c>
      <c r="B86" t="s">
        <v>4</v>
      </c>
      <c r="C86" t="s">
        <v>17</v>
      </c>
      <c r="D86" t="s">
        <v>31</v>
      </c>
      <c r="E86">
        <v>11</v>
      </c>
      <c r="F86">
        <v>0</v>
      </c>
      <c r="G86" s="6">
        <f>ROUND(F86/E86,2)</f>
        <v>0</v>
      </c>
    </row>
    <row r="87" spans="1:7" x14ac:dyDescent="0.25">
      <c r="A87" t="s">
        <v>73</v>
      </c>
      <c r="B87" t="s">
        <v>4</v>
      </c>
      <c r="C87" t="s">
        <v>17</v>
      </c>
      <c r="D87" t="s">
        <v>57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73</v>
      </c>
      <c r="B88" t="s">
        <v>4</v>
      </c>
      <c r="C88" t="s">
        <v>17</v>
      </c>
      <c r="D88" t="s">
        <v>31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73</v>
      </c>
      <c r="B89" t="s">
        <v>4</v>
      </c>
      <c r="C89" t="s">
        <v>17</v>
      </c>
      <c r="D89" s="5" t="s">
        <v>68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73</v>
      </c>
      <c r="B90" t="s">
        <v>4</v>
      </c>
      <c r="C90" t="s">
        <v>17</v>
      </c>
      <c r="D90" s="5" t="s">
        <v>84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73</v>
      </c>
      <c r="B91" t="s">
        <v>4</v>
      </c>
      <c r="C91" t="s">
        <v>60</v>
      </c>
      <c r="D91" s="5" t="s">
        <v>5</v>
      </c>
      <c r="E91">
        <v>1</v>
      </c>
      <c r="F91">
        <v>1</v>
      </c>
      <c r="G91" s="6">
        <f>ROUND(F91/E91,2)</f>
        <v>1</v>
      </c>
    </row>
    <row r="92" spans="1:7" x14ac:dyDescent="0.25">
      <c r="A92" t="s">
        <v>73</v>
      </c>
      <c r="B92" t="s">
        <v>4</v>
      </c>
      <c r="C92" t="s">
        <v>22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73</v>
      </c>
      <c r="B93" t="s">
        <v>10</v>
      </c>
      <c r="C93" t="s">
        <v>34</v>
      </c>
      <c r="D93" t="s">
        <v>50</v>
      </c>
      <c r="E93">
        <v>39</v>
      </c>
      <c r="F93">
        <v>12</v>
      </c>
      <c r="G93" s="6">
        <f>ROUND(F93/E93,2)</f>
        <v>0.31</v>
      </c>
    </row>
    <row r="94" spans="1:7" x14ac:dyDescent="0.25">
      <c r="A94" t="s">
        <v>73</v>
      </c>
      <c r="B94" t="s">
        <v>10</v>
      </c>
      <c r="C94" t="s">
        <v>34</v>
      </c>
      <c r="D94" t="s">
        <v>21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73</v>
      </c>
      <c r="B95" t="s">
        <v>4</v>
      </c>
      <c r="C95" t="s">
        <v>28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73</v>
      </c>
      <c r="B96" t="s">
        <v>4</v>
      </c>
      <c r="C96" t="s">
        <v>71</v>
      </c>
      <c r="D96" s="5" t="s">
        <v>5</v>
      </c>
      <c r="E96">
        <v>1</v>
      </c>
      <c r="F96">
        <v>1</v>
      </c>
      <c r="G96" s="6">
        <f>ROUND(F96/E96,2)</f>
        <v>1</v>
      </c>
    </row>
    <row r="97" spans="1:7" x14ac:dyDescent="0.25">
      <c r="A97" t="s">
        <v>73</v>
      </c>
      <c r="B97" t="s">
        <v>4</v>
      </c>
      <c r="C97" t="s">
        <v>43</v>
      </c>
      <c r="D97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73</v>
      </c>
      <c r="B98" t="s">
        <v>4</v>
      </c>
      <c r="C98" t="s">
        <v>26</v>
      </c>
      <c r="D98" t="s">
        <v>5</v>
      </c>
      <c r="E98">
        <v>4</v>
      </c>
      <c r="F98">
        <v>1</v>
      </c>
      <c r="G98" s="6">
        <f>ROUND(F98/E98,2)</f>
        <v>0.25</v>
      </c>
    </row>
    <row r="99" spans="1:7" x14ac:dyDescent="0.25">
      <c r="A99" t="s">
        <v>73</v>
      </c>
      <c r="B99" t="s">
        <v>4</v>
      </c>
      <c r="C99" t="s">
        <v>39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73</v>
      </c>
      <c r="B100" t="s">
        <v>4</v>
      </c>
      <c r="C100" t="s">
        <v>42</v>
      </c>
      <c r="D100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73</v>
      </c>
      <c r="B101" t="s">
        <v>4</v>
      </c>
      <c r="C101" t="s">
        <v>12</v>
      </c>
      <c r="D101" t="s">
        <v>66</v>
      </c>
      <c r="E101">
        <v>2</v>
      </c>
      <c r="F101">
        <v>1</v>
      </c>
      <c r="G101" s="6">
        <f>ROUND(F101/E101,2)</f>
        <v>0.5</v>
      </c>
    </row>
    <row r="102" spans="1:7" x14ac:dyDescent="0.25">
      <c r="A102" t="s">
        <v>73</v>
      </c>
      <c r="B102" t="s">
        <v>4</v>
      </c>
      <c r="C102" t="s">
        <v>12</v>
      </c>
      <c r="D102" s="5" t="s">
        <v>5</v>
      </c>
      <c r="E102">
        <v>2</v>
      </c>
      <c r="F102">
        <v>1</v>
      </c>
      <c r="G102" s="6">
        <f>ROUND(F102/E102,2)</f>
        <v>0.5</v>
      </c>
    </row>
    <row r="103" spans="1:7" x14ac:dyDescent="0.25">
      <c r="A103" t="s">
        <v>73</v>
      </c>
      <c r="B103" t="s">
        <v>4</v>
      </c>
      <c r="C103" t="s">
        <v>12</v>
      </c>
      <c r="D103" t="s">
        <v>21</v>
      </c>
      <c r="E103">
        <v>2</v>
      </c>
      <c r="F103">
        <v>0</v>
      </c>
      <c r="G103" s="6">
        <f>ROUND(F103/E103,2)</f>
        <v>0</v>
      </c>
    </row>
    <row r="104" spans="1:7" x14ac:dyDescent="0.25">
      <c r="A104" t="s">
        <v>73</v>
      </c>
      <c r="B104" t="s">
        <v>4</v>
      </c>
      <c r="C104" t="s">
        <v>12</v>
      </c>
      <c r="D104" s="5" t="s">
        <v>31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73</v>
      </c>
      <c r="B105" t="s">
        <v>4</v>
      </c>
      <c r="C105" t="s">
        <v>8</v>
      </c>
      <c r="D105" s="5" t="s">
        <v>37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73</v>
      </c>
      <c r="B106" t="s">
        <v>4</v>
      </c>
      <c r="C106" t="s">
        <v>8</v>
      </c>
      <c r="D106" s="5" t="s">
        <v>5</v>
      </c>
      <c r="E106">
        <v>2</v>
      </c>
      <c r="F106">
        <v>1</v>
      </c>
      <c r="G106" s="6">
        <f>ROUND(F106/E106,2)</f>
        <v>0.5</v>
      </c>
    </row>
    <row r="107" spans="1:7" x14ac:dyDescent="0.25">
      <c r="A107" t="s">
        <v>73</v>
      </c>
      <c r="B107" t="s">
        <v>4</v>
      </c>
      <c r="C107" t="s">
        <v>54</v>
      </c>
      <c r="D107" t="s">
        <v>5</v>
      </c>
      <c r="E107">
        <v>9</v>
      </c>
      <c r="F107">
        <v>4</v>
      </c>
      <c r="G107" s="6">
        <f>ROUND(F107/E107,2)</f>
        <v>0.44</v>
      </c>
    </row>
    <row r="108" spans="1:7" x14ac:dyDescent="0.25">
      <c r="A108" t="s">
        <v>73</v>
      </c>
      <c r="B108" t="s">
        <v>4</v>
      </c>
      <c r="C108" t="s">
        <v>51</v>
      </c>
      <c r="D108" t="s">
        <v>5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73</v>
      </c>
      <c r="B109" t="s">
        <v>4</v>
      </c>
      <c r="C109" t="s">
        <v>69</v>
      </c>
      <c r="D109" s="5" t="s">
        <v>5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73</v>
      </c>
      <c r="B110" t="s">
        <v>4</v>
      </c>
      <c r="C110" t="s">
        <v>15</v>
      </c>
      <c r="D110" t="s">
        <v>31</v>
      </c>
      <c r="E110">
        <v>2</v>
      </c>
      <c r="F110">
        <v>1</v>
      </c>
      <c r="G110" s="6">
        <f>ROUND(F110/E110,2)</f>
        <v>0.5</v>
      </c>
    </row>
    <row r="111" spans="1:7" x14ac:dyDescent="0.25">
      <c r="A111" t="s">
        <v>73</v>
      </c>
      <c r="B111" t="s">
        <v>4</v>
      </c>
      <c r="C111" t="s">
        <v>15</v>
      </c>
      <c r="D111" s="5" t="s">
        <v>5</v>
      </c>
      <c r="E111">
        <v>1</v>
      </c>
      <c r="F111">
        <v>1</v>
      </c>
      <c r="G111" s="6">
        <f>ROUND(F111/E111,2)</f>
        <v>1</v>
      </c>
    </row>
    <row r="112" spans="1:7" x14ac:dyDescent="0.25">
      <c r="A112" t="s">
        <v>73</v>
      </c>
      <c r="B112" t="s">
        <v>4</v>
      </c>
      <c r="C112" t="s">
        <v>87</v>
      </c>
      <c r="D112" s="5" t="s">
        <v>37</v>
      </c>
      <c r="E112">
        <v>2</v>
      </c>
      <c r="F112">
        <v>1</v>
      </c>
      <c r="G112" s="6">
        <f>ROUND(F112/E112,2)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>ROUND(F17/E17,2)</f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>ROUND(F19/E19,2)</f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73</v>
      </c>
      <c r="B22" t="s">
        <v>4</v>
      </c>
      <c r="C22" t="s">
        <v>70</v>
      </c>
      <c r="D22" s="5" t="s">
        <v>5</v>
      </c>
      <c r="E22">
        <v>1</v>
      </c>
      <c r="F22">
        <v>1</v>
      </c>
      <c r="G22" s="6">
        <f>ROUND(F22/E22,2)</f>
        <v>1</v>
      </c>
      <c r="K22" s="5"/>
    </row>
    <row r="23" spans="1:11" x14ac:dyDescent="0.25">
      <c r="A23" t="s">
        <v>73</v>
      </c>
      <c r="B23" t="s">
        <v>4</v>
      </c>
      <c r="C23" t="s">
        <v>40</v>
      </c>
      <c r="D23" s="5" t="s">
        <v>21</v>
      </c>
      <c r="E23">
        <v>1</v>
      </c>
      <c r="F23">
        <v>0</v>
      </c>
      <c r="G23" s="6">
        <f>ROUND(F23/E23,2)</f>
        <v>0</v>
      </c>
      <c r="K23" s="5"/>
    </row>
    <row r="24" spans="1:11" x14ac:dyDescent="0.25">
      <c r="A24" t="s">
        <v>73</v>
      </c>
      <c r="B24" t="s">
        <v>4</v>
      </c>
      <c r="C24" t="s">
        <v>14</v>
      </c>
      <c r="D24" s="5" t="s">
        <v>66</v>
      </c>
      <c r="E24">
        <v>2</v>
      </c>
      <c r="F24">
        <v>0</v>
      </c>
      <c r="G24" s="6">
        <f>ROUND(F24/E24,2)</f>
        <v>0</v>
      </c>
      <c r="K24" s="5"/>
    </row>
    <row r="25" spans="1:11" x14ac:dyDescent="0.25">
      <c r="A25" t="s">
        <v>73</v>
      </c>
      <c r="B25" t="s">
        <v>4</v>
      </c>
      <c r="C25" t="s">
        <v>14</v>
      </c>
      <c r="D25" s="5" t="s">
        <v>38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56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t="s">
        <v>31</v>
      </c>
      <c r="E27">
        <v>10</v>
      </c>
      <c r="F27">
        <v>0</v>
      </c>
      <c r="G27" s="6">
        <f>ROUND(F27/E27,2)</f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t="s">
        <v>21</v>
      </c>
      <c r="E28">
        <v>9</v>
      </c>
      <c r="F28">
        <v>4</v>
      </c>
      <c r="G28" s="6">
        <f>ROUND(F28/E28,2)</f>
        <v>0.44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s="5" t="s">
        <v>9</v>
      </c>
      <c r="E29">
        <v>2</v>
      </c>
      <c r="F29">
        <v>1</v>
      </c>
      <c r="G29" s="6">
        <f>ROUND(F29/E29,2)</f>
        <v>0.5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s="5" t="s">
        <v>5</v>
      </c>
      <c r="E30">
        <v>9</v>
      </c>
      <c r="F30">
        <v>3</v>
      </c>
      <c r="G30" s="6">
        <f>ROUND(F30/E30,2)</f>
        <v>0.33</v>
      </c>
      <c r="K30" s="5"/>
    </row>
    <row r="31" spans="1:11" x14ac:dyDescent="0.25">
      <c r="A31" t="s">
        <v>73</v>
      </c>
      <c r="B31" t="s">
        <v>4</v>
      </c>
      <c r="C31" t="s">
        <v>7</v>
      </c>
      <c r="D31" t="s">
        <v>66</v>
      </c>
      <c r="E31">
        <v>3</v>
      </c>
      <c r="F31">
        <v>1</v>
      </c>
      <c r="G31" s="6">
        <f>ROUND(F31/E31,2)</f>
        <v>0.33</v>
      </c>
      <c r="K31" s="5"/>
    </row>
    <row r="32" spans="1:11" x14ac:dyDescent="0.25">
      <c r="A32" t="s">
        <v>73</v>
      </c>
      <c r="B32" t="s">
        <v>4</v>
      </c>
      <c r="C32" t="s">
        <v>7</v>
      </c>
      <c r="D32" t="s">
        <v>31</v>
      </c>
      <c r="E32">
        <v>3</v>
      </c>
      <c r="F32">
        <v>1</v>
      </c>
      <c r="G32" s="6">
        <f>ROUND(F32/E32,2)</f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s="5" t="s">
        <v>21</v>
      </c>
      <c r="E33">
        <v>1</v>
      </c>
      <c r="F33">
        <v>1</v>
      </c>
      <c r="G33" s="6">
        <f>ROUND(F33/E33,2)</f>
        <v>1</v>
      </c>
      <c r="K33" s="5"/>
    </row>
    <row r="34" spans="1:11" x14ac:dyDescent="0.25">
      <c r="A34" t="s">
        <v>73</v>
      </c>
      <c r="B34" t="s">
        <v>4</v>
      </c>
      <c r="C34" t="s">
        <v>7</v>
      </c>
      <c r="D34" s="5" t="s">
        <v>5</v>
      </c>
      <c r="E34">
        <v>1</v>
      </c>
      <c r="F34">
        <v>0</v>
      </c>
      <c r="G34" s="6">
        <f>ROUND(F34/E34,2)</f>
        <v>0</v>
      </c>
      <c r="K34" s="5"/>
    </row>
    <row r="35" spans="1:11" x14ac:dyDescent="0.25">
      <c r="A35" t="s">
        <v>73</v>
      </c>
      <c r="B35" t="s">
        <v>4</v>
      </c>
      <c r="C35" t="s">
        <v>6</v>
      </c>
      <c r="D35" s="5" t="s">
        <v>21</v>
      </c>
      <c r="E35">
        <v>2</v>
      </c>
      <c r="F35">
        <v>0</v>
      </c>
      <c r="G35" s="6">
        <f>ROUND(F35/E35,2)</f>
        <v>0</v>
      </c>
      <c r="K35" s="5"/>
    </row>
    <row r="36" spans="1:11" x14ac:dyDescent="0.25">
      <c r="A36" t="s">
        <v>73</v>
      </c>
      <c r="B36" t="s">
        <v>4</v>
      </c>
      <c r="C36" t="s">
        <v>6</v>
      </c>
      <c r="D36" s="5" t="s">
        <v>5</v>
      </c>
      <c r="E36">
        <v>1</v>
      </c>
      <c r="F36">
        <v>0</v>
      </c>
      <c r="G36" s="6">
        <f>ROUND(F36/E36,2)</f>
        <v>0</v>
      </c>
      <c r="K36" s="5"/>
    </row>
    <row r="37" spans="1:11" x14ac:dyDescent="0.25">
      <c r="A37" t="s">
        <v>73</v>
      </c>
      <c r="B37" t="s">
        <v>4</v>
      </c>
      <c r="C37" t="s">
        <v>52</v>
      </c>
      <c r="D37" t="s">
        <v>5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73</v>
      </c>
      <c r="B38" t="s">
        <v>4</v>
      </c>
      <c r="C38" t="s">
        <v>13</v>
      </c>
      <c r="D38" s="5" t="s">
        <v>57</v>
      </c>
      <c r="E38">
        <v>1</v>
      </c>
      <c r="F38">
        <v>0</v>
      </c>
      <c r="G38" s="6">
        <f>ROUND(F38/E38,2)</f>
        <v>0</v>
      </c>
    </row>
    <row r="39" spans="1:11" x14ac:dyDescent="0.25">
      <c r="A39" t="s">
        <v>73</v>
      </c>
      <c r="B39" t="s">
        <v>4</v>
      </c>
      <c r="C39" t="s">
        <v>13</v>
      </c>
      <c r="D39" s="5" t="s">
        <v>9</v>
      </c>
      <c r="E39">
        <v>1</v>
      </c>
      <c r="F39">
        <v>0</v>
      </c>
      <c r="G39" s="6">
        <f>ROUND(F39/E39,2)</f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83</v>
      </c>
      <c r="E41">
        <v>2</v>
      </c>
      <c r="F41">
        <v>0</v>
      </c>
      <c r="G41" s="6">
        <f>ROUND(F41/E41,2)</f>
        <v>0</v>
      </c>
    </row>
    <row r="42" spans="1:11" x14ac:dyDescent="0.25">
      <c r="A42" t="s">
        <v>73</v>
      </c>
      <c r="B42" t="s">
        <v>4</v>
      </c>
      <c r="C42" t="s">
        <v>11</v>
      </c>
      <c r="D42" s="5" t="s">
        <v>21</v>
      </c>
      <c r="E42">
        <v>1</v>
      </c>
      <c r="F42">
        <v>0</v>
      </c>
      <c r="G42" s="6">
        <f>ROUND(F42/E42,2)</f>
        <v>0</v>
      </c>
    </row>
    <row r="43" spans="1:11" x14ac:dyDescent="0.25">
      <c r="A43" t="s">
        <v>73</v>
      </c>
      <c r="B43" t="s">
        <v>4</v>
      </c>
      <c r="C43" t="s">
        <v>45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11" x14ac:dyDescent="0.25">
      <c r="A44" t="s">
        <v>73</v>
      </c>
      <c r="B44" t="s">
        <v>4</v>
      </c>
      <c r="C44" t="s">
        <v>45</v>
      </c>
      <c r="D44" s="5" t="s">
        <v>21</v>
      </c>
      <c r="E44">
        <v>1</v>
      </c>
      <c r="F44">
        <v>0</v>
      </c>
      <c r="G44" s="6">
        <f>ROUND(F44/E44,2)</f>
        <v>0</v>
      </c>
    </row>
    <row r="45" spans="1:11" x14ac:dyDescent="0.25">
      <c r="A45" t="s">
        <v>73</v>
      </c>
      <c r="B45" t="s">
        <v>4</v>
      </c>
      <c r="C45" t="s">
        <v>67</v>
      </c>
      <c r="D45" t="s">
        <v>5</v>
      </c>
      <c r="E45">
        <v>1</v>
      </c>
      <c r="F45">
        <v>0</v>
      </c>
      <c r="G45" s="6">
        <f>ROUND(F45/E45,2)</f>
        <v>0</v>
      </c>
    </row>
    <row r="46" spans="1:11" x14ac:dyDescent="0.25">
      <c r="A46" t="s">
        <v>73</v>
      </c>
      <c r="B46" t="s">
        <v>4</v>
      </c>
      <c r="C46" t="s">
        <v>25</v>
      </c>
      <c r="D46" s="5" t="s">
        <v>31</v>
      </c>
      <c r="E46">
        <v>1</v>
      </c>
      <c r="F46">
        <v>1</v>
      </c>
      <c r="G46" s="6">
        <f>ROUND(F46/E46,2)</f>
        <v>1</v>
      </c>
    </row>
    <row r="47" spans="1:11" x14ac:dyDescent="0.25">
      <c r="A47" t="s">
        <v>73</v>
      </c>
      <c r="B47" t="s">
        <v>4</v>
      </c>
      <c r="C47" t="s">
        <v>25</v>
      </c>
      <c r="D47" s="5" t="s">
        <v>21</v>
      </c>
      <c r="E47">
        <v>2</v>
      </c>
      <c r="F47">
        <v>0</v>
      </c>
      <c r="G47" s="6">
        <f>ROUND(F47/E47,2)</f>
        <v>0</v>
      </c>
    </row>
    <row r="48" spans="1:11" x14ac:dyDescent="0.25">
      <c r="A48" t="s">
        <v>73</v>
      </c>
      <c r="B48" t="s">
        <v>4</v>
      </c>
      <c r="C48" t="s">
        <v>25</v>
      </c>
      <c r="D48" s="5" t="s">
        <v>9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73</v>
      </c>
      <c r="B49" t="s">
        <v>4</v>
      </c>
      <c r="C49" t="s">
        <v>25</v>
      </c>
      <c r="D49" s="5" t="s">
        <v>5</v>
      </c>
      <c r="E49">
        <v>8</v>
      </c>
      <c r="F49">
        <v>1</v>
      </c>
      <c r="G49" s="6">
        <f>ROUND(F49/E49,2)</f>
        <v>0.13</v>
      </c>
    </row>
    <row r="50" spans="1:7" x14ac:dyDescent="0.25">
      <c r="A50" t="s">
        <v>73</v>
      </c>
      <c r="B50" t="s">
        <v>4</v>
      </c>
      <c r="C50" t="s">
        <v>33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73</v>
      </c>
      <c r="B51" t="s">
        <v>4</v>
      </c>
      <c r="C51" t="s">
        <v>85</v>
      </c>
      <c r="D51" s="5" t="s">
        <v>5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16</v>
      </c>
      <c r="D52" t="s">
        <v>5</v>
      </c>
      <c r="E52">
        <v>7</v>
      </c>
      <c r="F52">
        <v>1</v>
      </c>
      <c r="G52" s="6">
        <f>ROUND(F52/E52,2)</f>
        <v>0.14000000000000001</v>
      </c>
    </row>
    <row r="53" spans="1:7" x14ac:dyDescent="0.25">
      <c r="A53" t="s">
        <v>73</v>
      </c>
      <c r="B53" t="s">
        <v>4</v>
      </c>
      <c r="C53" t="s">
        <v>16</v>
      </c>
      <c r="D53" s="5" t="s">
        <v>83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46</v>
      </c>
      <c r="D54" s="5" t="s">
        <v>5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73</v>
      </c>
      <c r="B55" t="s">
        <v>4</v>
      </c>
      <c r="C55" t="s">
        <v>61</v>
      </c>
      <c r="D55" t="s">
        <v>31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49</v>
      </c>
      <c r="D56" t="s">
        <v>5</v>
      </c>
      <c r="E56">
        <v>6</v>
      </c>
      <c r="F56">
        <v>2</v>
      </c>
      <c r="G56" s="6">
        <f>ROUND(F56/E56,2)</f>
        <v>0.33</v>
      </c>
    </row>
    <row r="57" spans="1:7" x14ac:dyDescent="0.25">
      <c r="A57" t="s">
        <v>73</v>
      </c>
      <c r="B57" t="s">
        <v>4</v>
      </c>
      <c r="C57" t="s">
        <v>62</v>
      </c>
      <c r="D57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17</v>
      </c>
      <c r="D58" t="s">
        <v>31</v>
      </c>
      <c r="E58">
        <v>5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17</v>
      </c>
      <c r="D59" s="5" t="s">
        <v>68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17</v>
      </c>
      <c r="D60" t="s">
        <v>37</v>
      </c>
      <c r="E60">
        <v>8</v>
      </c>
      <c r="F60">
        <v>1</v>
      </c>
      <c r="G60" s="6">
        <f>ROUND(F60/E60,2)</f>
        <v>0.13</v>
      </c>
    </row>
    <row r="61" spans="1:7" x14ac:dyDescent="0.25">
      <c r="A61" t="s">
        <v>73</v>
      </c>
      <c r="B61" t="s">
        <v>4</v>
      </c>
      <c r="C61" t="s">
        <v>17</v>
      </c>
      <c r="D61" s="5" t="s">
        <v>21</v>
      </c>
      <c r="E61">
        <v>1</v>
      </c>
      <c r="F61">
        <v>1</v>
      </c>
      <c r="G61" s="6">
        <f>ROUND(F61/E61,2)</f>
        <v>1</v>
      </c>
    </row>
    <row r="62" spans="1:7" x14ac:dyDescent="0.25">
      <c r="A62" t="s">
        <v>73</v>
      </c>
      <c r="B62" t="s">
        <v>4</v>
      </c>
      <c r="C62" t="s">
        <v>17</v>
      </c>
      <c r="D62" s="5" t="s">
        <v>5</v>
      </c>
      <c r="E62">
        <v>3</v>
      </c>
      <c r="F62">
        <v>2</v>
      </c>
      <c r="G62" s="6">
        <f>ROUND(F62/E62,2)</f>
        <v>0.67</v>
      </c>
    </row>
    <row r="63" spans="1:7" x14ac:dyDescent="0.25">
      <c r="A63" t="s">
        <v>73</v>
      </c>
      <c r="B63" t="s">
        <v>4</v>
      </c>
      <c r="C63" t="s">
        <v>17</v>
      </c>
      <c r="D63" s="5" t="s">
        <v>84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73</v>
      </c>
      <c r="B64" t="s">
        <v>4</v>
      </c>
      <c r="C64" t="s">
        <v>60</v>
      </c>
      <c r="D64" s="5" t="s">
        <v>5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73</v>
      </c>
      <c r="B65" t="s">
        <v>10</v>
      </c>
      <c r="C65" t="s">
        <v>34</v>
      </c>
      <c r="D65" t="s">
        <v>50</v>
      </c>
      <c r="E65">
        <v>2</v>
      </c>
      <c r="F65">
        <v>1</v>
      </c>
      <c r="G65" s="6">
        <f>ROUND(F65/E65,2)</f>
        <v>0.5</v>
      </c>
    </row>
    <row r="66" spans="1:7" x14ac:dyDescent="0.25">
      <c r="A66" t="s">
        <v>73</v>
      </c>
      <c r="B66" t="s">
        <v>4</v>
      </c>
      <c r="C66" t="s">
        <v>28</v>
      </c>
      <c r="D66" s="5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71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73</v>
      </c>
      <c r="B68" t="s">
        <v>4</v>
      </c>
      <c r="C68" t="s">
        <v>43</v>
      </c>
      <c r="D68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73</v>
      </c>
      <c r="B69" t="s">
        <v>4</v>
      </c>
      <c r="C69" t="s">
        <v>26</v>
      </c>
      <c r="D69" s="5" t="s">
        <v>5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73</v>
      </c>
      <c r="B70" t="s">
        <v>4</v>
      </c>
      <c r="C70" t="s">
        <v>39</v>
      </c>
      <c r="D70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12</v>
      </c>
      <c r="D71" t="s">
        <v>66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12</v>
      </c>
      <c r="D72" t="s">
        <v>31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12</v>
      </c>
      <c r="D73" s="5" t="s">
        <v>5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73</v>
      </c>
      <c r="B74" t="s">
        <v>4</v>
      </c>
      <c r="C74" t="s">
        <v>8</v>
      </c>
      <c r="D74" t="s">
        <v>37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73</v>
      </c>
      <c r="B75" t="s">
        <v>4</v>
      </c>
      <c r="C75" t="s">
        <v>8</v>
      </c>
      <c r="D75" s="5" t="s">
        <v>5</v>
      </c>
      <c r="E75">
        <v>2</v>
      </c>
      <c r="F75">
        <v>1</v>
      </c>
      <c r="G75" s="6">
        <f>ROUND(F75/E75,2)</f>
        <v>0.5</v>
      </c>
    </row>
    <row r="76" spans="1:7" x14ac:dyDescent="0.25">
      <c r="A76" t="s">
        <v>73</v>
      </c>
      <c r="B76" t="s">
        <v>4</v>
      </c>
      <c r="C76" t="s">
        <v>54</v>
      </c>
      <c r="D76" t="s">
        <v>5</v>
      </c>
      <c r="E76">
        <v>8</v>
      </c>
      <c r="F76">
        <v>3</v>
      </c>
      <c r="G76" s="6">
        <f>ROUND(F76/E76,2)</f>
        <v>0.38</v>
      </c>
    </row>
    <row r="77" spans="1:7" x14ac:dyDescent="0.25">
      <c r="A77" t="s">
        <v>73</v>
      </c>
      <c r="B77" t="s">
        <v>4</v>
      </c>
      <c r="C77" t="s">
        <v>69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73</v>
      </c>
      <c r="B78" t="s">
        <v>4</v>
      </c>
      <c r="C78" t="s">
        <v>15</v>
      </c>
      <c r="D78" s="5" t="s">
        <v>5</v>
      </c>
      <c r="E78">
        <v>1</v>
      </c>
      <c r="F78">
        <v>1</v>
      </c>
      <c r="G78" s="6">
        <f>ROUND(F78/E78,2)</f>
        <v>1</v>
      </c>
    </row>
    <row r="79" spans="1:7" x14ac:dyDescent="0.25">
      <c r="A79" t="s">
        <v>73</v>
      </c>
      <c r="B79" t="s">
        <v>4</v>
      </c>
      <c r="C79" t="s">
        <v>87</v>
      </c>
      <c r="D79" s="5" t="s">
        <v>37</v>
      </c>
      <c r="E79">
        <v>2</v>
      </c>
      <c r="F79">
        <v>1</v>
      </c>
      <c r="G79" s="6">
        <f>ROUND(F79/E79,2)</f>
        <v>0.5</v>
      </c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2025-06-17T18:17:41Z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