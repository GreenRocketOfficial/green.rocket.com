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97" documentId="13_ncr:1_{CCA05ED5-2A0D-4A8C-B6F5-632FDE30DEDF}" xr6:coauthVersionLast="47" xr6:coauthVersionMax="47" xr10:uidLastSave="{B6D20BC8-7517-4091-B5E8-7BC6ED4CEB53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6" i="20" l="1"/>
  <c r="G55" i="20"/>
  <c r="G54" i="20"/>
  <c r="G53" i="20"/>
  <c r="G52" i="20"/>
  <c r="G51" i="20"/>
  <c r="G50" i="20"/>
  <c r="G49" i="20"/>
  <c r="G48" i="20"/>
  <c r="G47" i="20"/>
  <c r="G46" i="20"/>
  <c r="G45" i="20"/>
  <c r="G44" i="20"/>
  <c r="G43" i="20"/>
  <c r="G42" i="20"/>
  <c r="G41" i="20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13" i="18"/>
  <c r="G17" i="18"/>
  <c r="G50" i="18"/>
  <c r="G49" i="18"/>
  <c r="G23" i="18"/>
  <c r="G30" i="18"/>
  <c r="G29" i="18"/>
  <c r="G28" i="18"/>
  <c r="G51" i="18"/>
  <c r="G27" i="18"/>
  <c r="G16" i="18"/>
  <c r="G20" i="18"/>
  <c r="G34" i="18"/>
  <c r="G18" i="18"/>
  <c r="G56" i="18"/>
  <c r="G40" i="18"/>
  <c r="G45" i="18"/>
  <c r="G53" i="18"/>
  <c r="G39" i="18"/>
  <c r="G44" i="18"/>
  <c r="G52" i="18"/>
  <c r="G43" i="18"/>
  <c r="G42" i="18"/>
  <c r="G36" i="18"/>
  <c r="G12" i="18"/>
  <c r="G41" i="18"/>
  <c r="G55" i="18"/>
  <c r="G14" i="18"/>
  <c r="G47" i="18"/>
  <c r="G48" i="18"/>
  <c r="G19" i="18"/>
  <c r="G38" i="18"/>
  <c r="G21" i="18"/>
  <c r="G31" i="18"/>
  <c r="G22" i="18"/>
  <c r="G46" i="18"/>
  <c r="G54" i="18"/>
  <c r="G24" i="18"/>
  <c r="G26" i="18"/>
  <c r="G35" i="18"/>
  <c r="G25" i="18"/>
  <c r="G33" i="18"/>
  <c r="G37" i="18"/>
  <c r="G15" i="18"/>
  <c r="G32" i="18"/>
  <c r="E12" i="21"/>
</calcChain>
</file>

<file path=xl/sharedStrings.xml><?xml version="1.0" encoding="utf-8"?>
<sst xmlns="http://schemas.openxmlformats.org/spreadsheetml/2006/main" count="386" uniqueCount="52">
  <si>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</si>
  <si>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</si>
  <si>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</si>
  <si>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</si>
  <si>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</si>
  <si>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</si>
  <si>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</si>
  <si>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</si>
  <si>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 All Time-Trefferquoten</t>
  </si>
  <si>
    <t>DE012</t>
  </si>
  <si>
    <t>DE012 Saison-Trefferquoten</t>
  </si>
  <si>
    <t>DE012 Strategie</t>
  </si>
  <si>
    <t>Fußball</t>
  </si>
  <si>
    <t>England 1</t>
  </si>
  <si>
    <t>Italien 1</t>
  </si>
  <si>
    <t>Belgien 1</t>
  </si>
  <si>
    <t>Unentschieden</t>
  </si>
  <si>
    <t>Sieg</t>
  </si>
  <si>
    <t>2. Halbzeit Sieg</t>
  </si>
  <si>
    <t>Deutschland 1</t>
  </si>
  <si>
    <t>Frankreich 1</t>
  </si>
  <si>
    <t>Basketball</t>
  </si>
  <si>
    <t xml:space="preserve">Deutschland </t>
  </si>
  <si>
    <t>Spanien 2</t>
  </si>
  <si>
    <t>Kroatien 1</t>
  </si>
  <si>
    <t>Chile 1</t>
  </si>
  <si>
    <t>Ecuador 1</t>
  </si>
  <si>
    <t>Champions League</t>
  </si>
  <si>
    <t>Japan 1</t>
  </si>
  <si>
    <t>Länderspiel</t>
  </si>
  <si>
    <t>Brasilien 2</t>
  </si>
  <si>
    <t>Über X Tore &amp; Sieg</t>
  </si>
  <si>
    <t>Argentinien 2</t>
  </si>
  <si>
    <t>Südkorea 1</t>
  </si>
  <si>
    <t>Klub-WM</t>
  </si>
  <si>
    <t>Argentinien 1</t>
  </si>
  <si>
    <t>Irland 1</t>
  </si>
  <si>
    <t>Über X Tore</t>
  </si>
  <si>
    <t>Schweden 1</t>
  </si>
  <si>
    <t>Über X Tore &amp; Doppelte Chance</t>
  </si>
  <si>
    <t>Kolumbien 1</t>
  </si>
  <si>
    <t>Über X Tore &amp; Beide treffen</t>
  </si>
  <si>
    <t>Japan 2</t>
  </si>
  <si>
    <t>USA 1</t>
  </si>
  <si>
    <t>Brasilien 1</t>
  </si>
  <si>
    <t>Finnland 1</t>
  </si>
  <si>
    <t>Bulgarien 1</t>
  </si>
  <si>
    <t>Deutschland 2</t>
  </si>
  <si>
    <t>Norwegen 1</t>
  </si>
  <si>
    <t>Landespokal</t>
  </si>
  <si>
    <t>Torschütze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</si>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</sst>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56" totalsRowShown="0">
  <autoFilter ref="A11:G56" xr:uid="{C312ECBC-370A-48F5-9745-177D5CBECA62}"/>
  <sortState xmlns:xlrd2="http://schemas.microsoft.com/office/spreadsheetml/2017/richdata2" ref="A12:G56">
    <sortCondition ref="C11:C56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56" totalsRowShown="0">
  <autoFilter ref="A11:G56" xr:uid="{C312ECBC-370A-48F5-9745-177D5CBECA62}"/>
  <sortState xmlns:xlrd2="http://schemas.microsoft.com/office/spreadsheetml/2017/richdata2" ref="A12:G56">
    <sortCondition ref="C11:C56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56"/>
  <sheetViews>
    <sheetView showGridLines="0" tabSelected="1" zoomScaleNormal="100" workbookViewId="0">
      <pane ySplit="11" topLeftCell="A12" activePane="bottomLeft" state="frozen"/>
      <selection pane="bottomLeft" activeCell="A16" sqref="A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35</v>
      </c>
      <c r="D13" s="5" t="s">
        <v>17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32</v>
      </c>
      <c r="D14" s="5" t="s">
        <v>16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17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31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30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27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25</v>
      </c>
      <c r="D22" s="5" t="s">
        <v>17</v>
      </c>
      <c r="E22">
        <v>3</v>
      </c>
      <c r="F22">
        <v>2</v>
      </c>
      <c r="G22" s="6">
        <f>ROUND(F22/E22,2)</f>
        <v>0.67</v>
      </c>
    </row>
    <row r="23" spans="1:7" x14ac:dyDescent="0.25">
      <c r="A23" t="s">
        <v>9</v>
      </c>
      <c r="B23" t="s">
        <v>12</v>
      </c>
      <c r="C23" t="s">
        <v>25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21</v>
      </c>
      <c r="C24" t="s">
        <v>22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19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19</v>
      </c>
      <c r="D26" s="5" t="s">
        <v>17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47</v>
      </c>
      <c r="D27" s="5" t="s">
        <v>39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47</v>
      </c>
      <c r="D28" s="5" t="s">
        <v>17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47</v>
      </c>
      <c r="D29" s="5" t="s">
        <v>31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47</v>
      </c>
      <c r="D30" s="5" t="s">
        <v>16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26</v>
      </c>
      <c r="D31" s="5" t="s">
        <v>17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13</v>
      </c>
      <c r="D32" s="5" t="s">
        <v>16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13</v>
      </c>
      <c r="D33" s="5" t="s">
        <v>17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45</v>
      </c>
      <c r="D34" s="5" t="s">
        <v>17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20</v>
      </c>
      <c r="D35" s="5" t="s">
        <v>16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36</v>
      </c>
      <c r="D36" s="5" t="s">
        <v>16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9</v>
      </c>
      <c r="B37" t="s">
        <v>12</v>
      </c>
      <c r="C37" t="s">
        <v>14</v>
      </c>
      <c r="D37" s="5" t="s">
        <v>16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9</v>
      </c>
      <c r="B38" t="s">
        <v>12</v>
      </c>
      <c r="C38" t="s">
        <v>28</v>
      </c>
      <c r="D38" s="5" t="s">
        <v>17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28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42</v>
      </c>
      <c r="D40" s="5" t="s">
        <v>17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34</v>
      </c>
      <c r="D41" s="5" t="s">
        <v>31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34</v>
      </c>
      <c r="D42" s="5" t="s">
        <v>37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34</v>
      </c>
      <c r="D43" s="5" t="s">
        <v>16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34</v>
      </c>
      <c r="D44" s="5" t="s">
        <v>39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40</v>
      </c>
      <c r="D45" s="5" t="s">
        <v>41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24</v>
      </c>
      <c r="D46" s="5" t="s">
        <v>16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29</v>
      </c>
      <c r="D47" s="5" t="s">
        <v>16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29</v>
      </c>
      <c r="D48" s="5" t="s">
        <v>31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49</v>
      </c>
      <c r="D49" s="5" t="s">
        <v>50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49</v>
      </c>
      <c r="D50" s="5" t="s">
        <v>17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48</v>
      </c>
      <c r="D51" s="5" t="s">
        <v>17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9</v>
      </c>
      <c r="B52" t="s">
        <v>12</v>
      </c>
      <c r="C52" t="s">
        <v>38</v>
      </c>
      <c r="D52" s="5" t="s">
        <v>17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12</v>
      </c>
      <c r="C53" t="s">
        <v>38</v>
      </c>
      <c r="D53" s="5" t="s">
        <v>16</v>
      </c>
      <c r="E53">
        <v>1</v>
      </c>
      <c r="F53">
        <v>1</v>
      </c>
      <c r="G53" s="6">
        <f>ROUND(F53/E53,2)</f>
        <v>1</v>
      </c>
    </row>
    <row r="54" spans="1:7" x14ac:dyDescent="0.25">
      <c r="A54" t="s">
        <v>9</v>
      </c>
      <c r="B54" t="s">
        <v>12</v>
      </c>
      <c r="C54" t="s">
        <v>23</v>
      </c>
      <c r="D54" s="5" t="s">
        <v>17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9</v>
      </c>
      <c r="B55" t="s">
        <v>12</v>
      </c>
      <c r="C55" t="s">
        <v>33</v>
      </c>
      <c r="D55" s="5" t="s">
        <v>17</v>
      </c>
      <c r="E55">
        <v>2</v>
      </c>
      <c r="F55">
        <v>1</v>
      </c>
      <c r="G55" s="6">
        <f>ROUND(F55/E55,2)</f>
        <v>0.5</v>
      </c>
    </row>
    <row r="56" spans="1:7" x14ac:dyDescent="0.25">
      <c r="A56" t="s">
        <v>9</v>
      </c>
      <c r="B56" t="s">
        <v>12</v>
      </c>
      <c r="C56" t="s">
        <v>43</v>
      </c>
      <c r="D56" s="5" t="s">
        <v>16</v>
      </c>
      <c r="E56">
        <v>1</v>
      </c>
      <c r="F56">
        <v>1</v>
      </c>
      <c r="G56" s="6">
        <f>ROUND(F56/E56,2)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51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35</v>
      </c>
      <c r="D12" s="5" t="s">
        <v>16</v>
      </c>
      <c r="E12">
        <v>4</v>
      </c>
      <c r="F12">
        <v>2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35</v>
      </c>
      <c r="D13" s="5" t="s">
        <v>17</v>
      </c>
      <c r="E13">
        <v>1</v>
      </c>
      <c r="F13">
        <v>1</v>
      </c>
      <c r="G13" s="6">
        <f>ROUND(F13/E13,2)</f>
        <v>1</v>
      </c>
    </row>
    <row r="14" spans="1:20" x14ac:dyDescent="0.25">
      <c r="A14" t="s">
        <v>9</v>
      </c>
      <c r="B14" t="s">
        <v>12</v>
      </c>
      <c r="C14" t="s">
        <v>32</v>
      </c>
      <c r="D14" s="5" t="s">
        <v>16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15</v>
      </c>
      <c r="D16" s="5" t="s">
        <v>17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15</v>
      </c>
      <c r="D17" s="5" t="s">
        <v>16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44</v>
      </c>
      <c r="D18" s="5" t="s">
        <v>31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30</v>
      </c>
      <c r="D19" s="5" t="s">
        <v>16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46</v>
      </c>
      <c r="D20" s="5" t="s">
        <v>16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27</v>
      </c>
      <c r="D21" s="5" t="s">
        <v>16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25</v>
      </c>
      <c r="D22" s="5" t="s">
        <v>17</v>
      </c>
      <c r="E22">
        <v>3</v>
      </c>
      <c r="F22">
        <v>2</v>
      </c>
      <c r="G22" s="6">
        <f>ROUND(F22/E22,2)</f>
        <v>0.67</v>
      </c>
    </row>
    <row r="23" spans="1:7" x14ac:dyDescent="0.25">
      <c r="A23" t="s">
        <v>9</v>
      </c>
      <c r="B23" t="s">
        <v>12</v>
      </c>
      <c r="C23" t="s">
        <v>25</v>
      </c>
      <c r="D23" s="5" t="s">
        <v>16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21</v>
      </c>
      <c r="C24" t="s">
        <v>22</v>
      </c>
      <c r="D24" s="5" t="s">
        <v>17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19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19</v>
      </c>
      <c r="D26" s="5" t="s">
        <v>17</v>
      </c>
      <c r="E26">
        <v>1</v>
      </c>
      <c r="F26">
        <v>1</v>
      </c>
      <c r="G26" s="6">
        <f>ROUND(F26/E26,2)</f>
        <v>1</v>
      </c>
    </row>
    <row r="27" spans="1:7" x14ac:dyDescent="0.25">
      <c r="A27" t="s">
        <v>9</v>
      </c>
      <c r="B27" t="s">
        <v>12</v>
      </c>
      <c r="C27" t="s">
        <v>47</v>
      </c>
      <c r="D27" s="5" t="s">
        <v>39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47</v>
      </c>
      <c r="D28" s="5" t="s">
        <v>17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47</v>
      </c>
      <c r="D29" s="5" t="s">
        <v>31</v>
      </c>
      <c r="E29">
        <v>2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47</v>
      </c>
      <c r="D30" s="5" t="s">
        <v>16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26</v>
      </c>
      <c r="D31" s="5" t="s">
        <v>17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13</v>
      </c>
      <c r="D32" s="5" t="s">
        <v>16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13</v>
      </c>
      <c r="D33" s="5" t="s">
        <v>17</v>
      </c>
      <c r="E33">
        <v>2</v>
      </c>
      <c r="F33">
        <v>1</v>
      </c>
      <c r="G33" s="6">
        <f>ROUND(F33/E33,2)</f>
        <v>0.5</v>
      </c>
    </row>
    <row r="34" spans="1:7" x14ac:dyDescent="0.25">
      <c r="A34" t="s">
        <v>9</v>
      </c>
      <c r="B34" t="s">
        <v>12</v>
      </c>
      <c r="C34" t="s">
        <v>45</v>
      </c>
      <c r="D34" s="5" t="s">
        <v>17</v>
      </c>
      <c r="E34">
        <v>2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20</v>
      </c>
      <c r="D35" s="5" t="s">
        <v>16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36</v>
      </c>
      <c r="D36" s="5" t="s">
        <v>16</v>
      </c>
      <c r="E36">
        <v>2</v>
      </c>
      <c r="F36">
        <v>1</v>
      </c>
      <c r="G36" s="6">
        <f>ROUND(F36/E36,2)</f>
        <v>0.5</v>
      </c>
    </row>
    <row r="37" spans="1:7" x14ac:dyDescent="0.25">
      <c r="A37" t="s">
        <v>9</v>
      </c>
      <c r="B37" t="s">
        <v>12</v>
      </c>
      <c r="C37" t="s">
        <v>14</v>
      </c>
      <c r="D37" s="5" t="s">
        <v>16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9</v>
      </c>
      <c r="B38" t="s">
        <v>12</v>
      </c>
      <c r="C38" t="s">
        <v>28</v>
      </c>
      <c r="D38" s="5" t="s">
        <v>17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28</v>
      </c>
      <c r="D39" s="5" t="s">
        <v>16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42</v>
      </c>
      <c r="D40" s="5" t="s">
        <v>17</v>
      </c>
      <c r="E40">
        <v>1</v>
      </c>
      <c r="F40">
        <v>1</v>
      </c>
      <c r="G40" s="6">
        <f>ROUND(F40/E40,2)</f>
        <v>1</v>
      </c>
    </row>
    <row r="41" spans="1:7" x14ac:dyDescent="0.25">
      <c r="A41" t="s">
        <v>9</v>
      </c>
      <c r="B41" t="s">
        <v>12</v>
      </c>
      <c r="C41" t="s">
        <v>34</v>
      </c>
      <c r="D41" s="5" t="s">
        <v>31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9</v>
      </c>
      <c r="B42" t="s">
        <v>12</v>
      </c>
      <c r="C42" t="s">
        <v>34</v>
      </c>
      <c r="D42" s="5" t="s">
        <v>37</v>
      </c>
      <c r="E42">
        <v>1</v>
      </c>
      <c r="F42">
        <v>1</v>
      </c>
      <c r="G42" s="6">
        <f>ROUND(F42/E42,2)</f>
        <v>1</v>
      </c>
    </row>
    <row r="43" spans="1:7" x14ac:dyDescent="0.25">
      <c r="A43" t="s">
        <v>9</v>
      </c>
      <c r="B43" t="s">
        <v>12</v>
      </c>
      <c r="C43" t="s">
        <v>34</v>
      </c>
      <c r="D43" s="5" t="s">
        <v>16</v>
      </c>
      <c r="E43">
        <v>1</v>
      </c>
      <c r="F43">
        <v>1</v>
      </c>
      <c r="G43" s="6">
        <f>ROUND(F43/E43,2)</f>
        <v>1</v>
      </c>
    </row>
    <row r="44" spans="1:7" x14ac:dyDescent="0.25">
      <c r="A44" t="s">
        <v>9</v>
      </c>
      <c r="B44" t="s">
        <v>12</v>
      </c>
      <c r="C44" t="s">
        <v>34</v>
      </c>
      <c r="D44" s="5" t="s">
        <v>39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9</v>
      </c>
      <c r="B45" t="s">
        <v>12</v>
      </c>
      <c r="C45" t="s">
        <v>40</v>
      </c>
      <c r="D45" s="5" t="s">
        <v>41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9</v>
      </c>
      <c r="B46" t="s">
        <v>12</v>
      </c>
      <c r="C46" t="s">
        <v>24</v>
      </c>
      <c r="D46" s="5" t="s">
        <v>16</v>
      </c>
      <c r="E46">
        <v>1</v>
      </c>
      <c r="F46">
        <v>1</v>
      </c>
      <c r="G46" s="6">
        <f>ROUND(F46/E46,2)</f>
        <v>1</v>
      </c>
    </row>
    <row r="47" spans="1:7" x14ac:dyDescent="0.25">
      <c r="A47" t="s">
        <v>9</v>
      </c>
      <c r="B47" t="s">
        <v>12</v>
      </c>
      <c r="C47" t="s">
        <v>29</v>
      </c>
      <c r="D47" s="5" t="s">
        <v>16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9</v>
      </c>
      <c r="B48" t="s">
        <v>12</v>
      </c>
      <c r="C48" t="s">
        <v>29</v>
      </c>
      <c r="D48" s="5" t="s">
        <v>31</v>
      </c>
      <c r="E48">
        <v>2</v>
      </c>
      <c r="F48">
        <v>0</v>
      </c>
      <c r="G48" s="6">
        <f>ROUND(F48/E48,2)</f>
        <v>0</v>
      </c>
    </row>
    <row r="49" spans="1:7" x14ac:dyDescent="0.25">
      <c r="A49" t="s">
        <v>9</v>
      </c>
      <c r="B49" t="s">
        <v>12</v>
      </c>
      <c r="C49" t="s">
        <v>49</v>
      </c>
      <c r="D49" s="5" t="s">
        <v>50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9</v>
      </c>
      <c r="B50" t="s">
        <v>12</v>
      </c>
      <c r="C50" t="s">
        <v>49</v>
      </c>
      <c r="D50" s="5" t="s">
        <v>17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9</v>
      </c>
      <c r="B51" t="s">
        <v>12</v>
      </c>
      <c r="C51" t="s">
        <v>48</v>
      </c>
      <c r="D51" s="5" t="s">
        <v>17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9</v>
      </c>
      <c r="B52" t="s">
        <v>12</v>
      </c>
      <c r="C52" t="s">
        <v>38</v>
      </c>
      <c r="D52" s="5" t="s">
        <v>17</v>
      </c>
      <c r="E52">
        <v>2</v>
      </c>
      <c r="F52">
        <v>0</v>
      </c>
      <c r="G52" s="6">
        <f>ROUND(F52/E52,2)</f>
        <v>0</v>
      </c>
    </row>
    <row r="53" spans="1:7" x14ac:dyDescent="0.25">
      <c r="A53" t="s">
        <v>9</v>
      </c>
      <c r="B53" t="s">
        <v>12</v>
      </c>
      <c r="C53" t="s">
        <v>38</v>
      </c>
      <c r="D53" s="5" t="s">
        <v>16</v>
      </c>
      <c r="E53">
        <v>1</v>
      </c>
      <c r="F53">
        <v>1</v>
      </c>
      <c r="G53" s="6">
        <f>ROUND(F53/E53,2)</f>
        <v>1</v>
      </c>
    </row>
    <row r="54" spans="1:7" x14ac:dyDescent="0.25">
      <c r="A54" t="s">
        <v>9</v>
      </c>
      <c r="B54" t="s">
        <v>12</v>
      </c>
      <c r="C54" t="s">
        <v>23</v>
      </c>
      <c r="D54" s="5" t="s">
        <v>17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9</v>
      </c>
      <c r="B55" t="s">
        <v>12</v>
      </c>
      <c r="C55" t="s">
        <v>33</v>
      </c>
      <c r="D55" s="5" t="s">
        <v>17</v>
      </c>
      <c r="E55">
        <v>2</v>
      </c>
      <c r="F55">
        <v>1</v>
      </c>
      <c r="G55" s="6">
        <f>ROUND(F55/E55,2)</f>
        <v>0.5</v>
      </c>
    </row>
    <row r="56" spans="1:7" x14ac:dyDescent="0.25">
      <c r="A56" t="s">
        <v>9</v>
      </c>
      <c r="B56" t="s">
        <v>12</v>
      </c>
      <c r="C56" t="s">
        <v>43</v>
      </c>
      <c r="D56" s="5" t="s">
        <v>16</v>
      </c>
      <c r="E56">
        <v>1</v>
      </c>
      <c r="F56">
        <v>1</v>
      </c>
      <c r="G56" s="6">
        <f>ROUND(F56/E56,2)</f>
        <v>1</v>
      </c>
    </row>
    <row r="57" spans="1:7" x14ac:dyDescent="0.25">
      <c r="G57" s="6"/>
    </row>
    <row r="58" spans="1:7" x14ac:dyDescent="0.25">
      <c r="G58" s="6"/>
    </row>
    <row r="59" spans="1:7" x14ac:dyDescent="0.25">
      <c r="D59" s="5"/>
      <c r="G59" s="6"/>
    </row>
    <row r="60" spans="1:7" x14ac:dyDescent="0.25">
      <c r="G60" s="6"/>
    </row>
    <row r="61" spans="1:7" x14ac:dyDescent="0.25">
      <c r="G61" s="6"/>
    </row>
    <row r="62" spans="1:7" x14ac:dyDescent="0.25">
      <c r="G62" s="6"/>
    </row>
    <row r="63" spans="1:7" x14ac:dyDescent="0.25">
      <c r="G63" s="6"/>
    </row>
    <row r="64" spans="1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2025-08-19T19:51:59Z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