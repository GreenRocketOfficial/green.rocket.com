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83" documentId="13_ncr:1_{CCA05ED5-2A0D-4A8C-B6F5-632FDE30DEDF}" xr6:coauthVersionLast="47" xr6:coauthVersionMax="47" xr10:uidLastSave="{84FFC20F-EA81-4C7E-9FBC-E16FE4A5733A}"/>
  <bookViews>
    <workbookView xWindow="11895" yWindow="0" windowWidth="1218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20" l="1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5" i="18"/>
  <c r="G15" i="18"/>
  <c r="G44" i="18"/>
  <c r="G31" i="18"/>
  <c r="G36" i="18"/>
  <c r="G41" i="18"/>
  <c r="G30" i="18"/>
  <c r="G35" i="18"/>
  <c r="G40" i="18"/>
  <c r="G34" i="18"/>
  <c r="G33" i="18"/>
  <c r="G27" i="18"/>
  <c r="G12" i="18"/>
  <c r="G32" i="18"/>
  <c r="G43" i="18"/>
  <c r="G13" i="18"/>
  <c r="G38" i="18"/>
  <c r="G39" i="18"/>
  <c r="G16" i="18"/>
  <c r="G29" i="18"/>
  <c r="G17" i="18"/>
  <c r="G22" i="18"/>
  <c r="G18" i="18"/>
  <c r="G37" i="18"/>
  <c r="G42" i="18"/>
  <c r="G19" i="18"/>
  <c r="G21" i="18"/>
  <c r="G26" i="18"/>
  <c r="G20" i="18"/>
  <c r="G24" i="18"/>
  <c r="G28" i="18"/>
  <c r="G14" i="18"/>
  <c r="G23" i="18"/>
  <c r="E12" i="21"/>
</calcChain>
</file>

<file path=xl/sharedStrings.xml><?xml version="1.0" encoding="utf-8"?>
<sst xmlns="http://schemas.openxmlformats.org/spreadsheetml/2006/main" count="290" uniqueCount="47">
  <si>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</si>
  <si>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</si>
  <si>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</si>
  <si>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</si>
  <si>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</si>
  <si>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</si>
  <si>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</si>
  <si>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</si>
  <si>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 All Time-Trefferquoten</t>
  </si>
  <si>
    <t>DE012</t>
  </si>
  <si>
    <t>DE012 Saison-Trefferquoten</t>
  </si>
  <si>
    <t>DE012 Strategie</t>
  </si>
  <si>
    <t>Fußball</t>
  </si>
  <si>
    <t>England 1</t>
  </si>
  <si>
    <t>Italien 1</t>
  </si>
  <si>
    <t>Belgien 1</t>
  </si>
  <si>
    <t>Unentschieden</t>
  </si>
  <si>
    <t>Sieg</t>
  </si>
  <si>
    <t>2. Halbzeit Sieg</t>
  </si>
  <si>
    <t>Deutschland 1</t>
  </si>
  <si>
    <t>Frankreich 1</t>
  </si>
  <si>
    <t>Basketball</t>
  </si>
  <si>
    <t xml:space="preserve">Deutschland </t>
  </si>
  <si>
    <t>Spanien 2</t>
  </si>
  <si>
    <t>Kroatien 1</t>
  </si>
  <si>
    <t>Chile 1</t>
  </si>
  <si>
    <t>Ecuador 1</t>
  </si>
  <si>
    <t>Champions League</t>
  </si>
  <si>
    <t>Japan 1</t>
  </si>
  <si>
    <t>Länderspiel</t>
  </si>
  <si>
    <t>Brasilien 2</t>
  </si>
  <si>
    <t>Über X Tore &amp; Sieg</t>
  </si>
  <si>
    <t>Argentinien 2</t>
  </si>
  <si>
    <t>Südkorea 1</t>
  </si>
  <si>
    <t>Klub-WM</t>
  </si>
  <si>
    <t>Argentinien 1</t>
  </si>
  <si>
    <t>Irland 1</t>
  </si>
  <si>
    <t>Über X Tore</t>
  </si>
  <si>
    <t>Schweden 1</t>
  </si>
  <si>
    <t>Über X Tore &amp; Doppelte Chance</t>
  </si>
  <si>
    <t>Kolumbien 1</t>
  </si>
  <si>
    <t>Über X Tore &amp; Beide treffen</t>
  </si>
  <si>
    <t>Japan 2</t>
  </si>
  <si>
    <t>USA 1</t>
  </si>
  <si>
    <t>Brasilien 1</t>
  </si>
  <si>
    <t>Finnland 1</t>
  </si>
  <si>
    <t>Stand: 24.07.2025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</si>
</sst>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4" totalsRowShown="0">
  <autoFilter ref="A11:G44" xr:uid="{C312ECBC-370A-48F5-9745-177D5CBECA62}"/>
  <sortState xmlns:xlrd2="http://schemas.microsoft.com/office/spreadsheetml/2017/richdata2" ref="A12:G44">
    <sortCondition ref="C11:C4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4" totalsRowShown="0">
  <autoFilter ref="A11:G44" xr:uid="{C312ECBC-370A-48F5-9745-177D5CBECA62}"/>
  <sortState xmlns:xlrd2="http://schemas.microsoft.com/office/spreadsheetml/2017/richdata2" ref="A12:G44">
    <sortCondition ref="C11:C4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4"/>
  <sheetViews>
    <sheetView showGridLines="0" tabSelected="1" zoomScaleNormal="100" workbookViewId="0">
      <pane ySplit="11" topLeftCell="A12" activePane="bottomLeft" state="frozen"/>
      <selection pane="bottomLeft" activeCell="A26" sqref="A2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35</v>
      </c>
      <c r="D12" s="5" t="s">
        <v>16</v>
      </c>
      <c r="E12">
        <v>3</v>
      </c>
      <c r="F12">
        <v>1</v>
      </c>
      <c r="G12" s="6">
        <f>ROUND(F12/E12,2)</f>
        <v>0.33</v>
      </c>
    </row>
    <row r="13" spans="1:20" x14ac:dyDescent="0.25">
      <c r="A13" t="s">
        <v>9</v>
      </c>
      <c r="B13" t="s">
        <v>12</v>
      </c>
      <c r="C13" t="s">
        <v>32</v>
      </c>
      <c r="D13" s="5" t="s">
        <v>16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15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44</v>
      </c>
      <c r="D15" s="5" t="s">
        <v>31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30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27</v>
      </c>
      <c r="D17" s="5" t="s">
        <v>16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25</v>
      </c>
      <c r="D18" s="5" t="s">
        <v>17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9</v>
      </c>
      <c r="B19" t="s">
        <v>21</v>
      </c>
      <c r="C19" t="s">
        <v>22</v>
      </c>
      <c r="D19" s="5" t="s">
        <v>17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19</v>
      </c>
      <c r="D20" s="5" t="s">
        <v>16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19</v>
      </c>
      <c r="D21" s="5" t="s">
        <v>17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26</v>
      </c>
      <c r="D22" s="5" t="s">
        <v>17</v>
      </c>
      <c r="E22">
        <v>2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13</v>
      </c>
      <c r="D23" s="5" t="s">
        <v>16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13</v>
      </c>
      <c r="D24" s="5" t="s">
        <v>17</v>
      </c>
      <c r="E24">
        <v>2</v>
      </c>
      <c r="F24">
        <v>1</v>
      </c>
      <c r="G24" s="6">
        <f>ROUND(F24/E24,2)</f>
        <v>0.5</v>
      </c>
    </row>
    <row r="25" spans="1:7" x14ac:dyDescent="0.25">
      <c r="A25" t="s">
        <v>9</v>
      </c>
      <c r="B25" t="s">
        <v>12</v>
      </c>
      <c r="C25" t="s">
        <v>45</v>
      </c>
      <c r="D25" s="5" t="s">
        <v>17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20</v>
      </c>
      <c r="D26" s="5" t="s">
        <v>16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36</v>
      </c>
      <c r="D27" s="5" t="s">
        <v>16</v>
      </c>
      <c r="E27">
        <v>2</v>
      </c>
      <c r="F27">
        <v>1</v>
      </c>
      <c r="G27" s="6">
        <f>ROUND(F27/E27,2)</f>
        <v>0.5</v>
      </c>
    </row>
    <row r="28" spans="1:7" x14ac:dyDescent="0.25">
      <c r="A28" t="s">
        <v>9</v>
      </c>
      <c r="B28" t="s">
        <v>12</v>
      </c>
      <c r="C28" t="s">
        <v>14</v>
      </c>
      <c r="D28" s="5" t="s">
        <v>16</v>
      </c>
      <c r="E28">
        <v>2</v>
      </c>
      <c r="F28">
        <v>1</v>
      </c>
      <c r="G28" s="6">
        <f>ROUND(F28/E28,2)</f>
        <v>0.5</v>
      </c>
    </row>
    <row r="29" spans="1:7" x14ac:dyDescent="0.25">
      <c r="A29" t="s">
        <v>9</v>
      </c>
      <c r="B29" t="s">
        <v>12</v>
      </c>
      <c r="C29" t="s">
        <v>28</v>
      </c>
      <c r="D29" s="5" t="s">
        <v>17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28</v>
      </c>
      <c r="D30" s="5" t="s">
        <v>16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42</v>
      </c>
      <c r="D31" s="5" t="s">
        <v>17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34</v>
      </c>
      <c r="D32" s="5" t="s">
        <v>31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34</v>
      </c>
      <c r="D33" s="5" t="s">
        <v>37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34</v>
      </c>
      <c r="D34" s="5" t="s">
        <v>16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34</v>
      </c>
      <c r="D35" s="5" t="s">
        <v>39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40</v>
      </c>
      <c r="D36" s="5" t="s">
        <v>41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24</v>
      </c>
      <c r="D37" s="5" t="s">
        <v>16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29</v>
      </c>
      <c r="D38" s="5" t="s">
        <v>16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29</v>
      </c>
      <c r="D39" s="5" t="s">
        <v>31</v>
      </c>
      <c r="E39">
        <v>2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38</v>
      </c>
      <c r="D40" s="5" t="s">
        <v>17</v>
      </c>
      <c r="E40">
        <v>2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38</v>
      </c>
      <c r="D41" s="5" t="s">
        <v>16</v>
      </c>
      <c r="E41">
        <v>1</v>
      </c>
      <c r="F41">
        <v>1</v>
      </c>
      <c r="G41" s="6">
        <f>ROUND(F41/E41,2)</f>
        <v>1</v>
      </c>
    </row>
    <row r="42" spans="1:7" x14ac:dyDescent="0.25">
      <c r="A42" t="s">
        <v>9</v>
      </c>
      <c r="B42" t="s">
        <v>12</v>
      </c>
      <c r="C42" t="s">
        <v>23</v>
      </c>
      <c r="D42" s="5" t="s">
        <v>17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33</v>
      </c>
      <c r="D43" s="5" t="s">
        <v>17</v>
      </c>
      <c r="E43">
        <v>2</v>
      </c>
      <c r="F43">
        <v>1</v>
      </c>
      <c r="G43" s="6">
        <f>ROUND(F43/E43,2)</f>
        <v>0.5</v>
      </c>
    </row>
    <row r="44" spans="1:7" x14ac:dyDescent="0.25">
      <c r="A44" t="s">
        <v>9</v>
      </c>
      <c r="B44" t="s">
        <v>12</v>
      </c>
      <c r="C44" t="s">
        <v>43</v>
      </c>
      <c r="D44" s="5" t="s">
        <v>16</v>
      </c>
      <c r="E44">
        <v>1</v>
      </c>
      <c r="F44">
        <v>1</v>
      </c>
      <c r="G44" s="6">
        <f>ROUND(F44/E44,2)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21" sqref="B21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35</v>
      </c>
      <c r="D12" s="5" t="s">
        <v>16</v>
      </c>
      <c r="E12">
        <v>3</v>
      </c>
      <c r="F12">
        <v>1</v>
      </c>
      <c r="G12" s="6">
        <f>ROUND(F12/E12,2)</f>
        <v>0.33</v>
      </c>
    </row>
    <row r="13" spans="1:20" x14ac:dyDescent="0.25">
      <c r="A13" t="s">
        <v>9</v>
      </c>
      <c r="B13" t="s">
        <v>12</v>
      </c>
      <c r="C13" t="s">
        <v>32</v>
      </c>
      <c r="D13" s="5" t="s">
        <v>16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15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44</v>
      </c>
      <c r="D15" s="5" t="s">
        <v>31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30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27</v>
      </c>
      <c r="D17" s="5" t="s">
        <v>16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25</v>
      </c>
      <c r="D18" s="5" t="s">
        <v>17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9</v>
      </c>
      <c r="B19" t="s">
        <v>21</v>
      </c>
      <c r="C19" t="s">
        <v>22</v>
      </c>
      <c r="D19" s="5" t="s">
        <v>17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19</v>
      </c>
      <c r="D20" s="5" t="s">
        <v>16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19</v>
      </c>
      <c r="D21" s="5" t="s">
        <v>17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26</v>
      </c>
      <c r="D22" s="5" t="s">
        <v>17</v>
      </c>
      <c r="E22">
        <v>2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13</v>
      </c>
      <c r="D23" s="5" t="s">
        <v>16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13</v>
      </c>
      <c r="D24" s="5" t="s">
        <v>17</v>
      </c>
      <c r="E24">
        <v>2</v>
      </c>
      <c r="F24">
        <v>1</v>
      </c>
      <c r="G24" s="6">
        <f>ROUND(F24/E24,2)</f>
        <v>0.5</v>
      </c>
    </row>
    <row r="25" spans="1:7" x14ac:dyDescent="0.25">
      <c r="A25" t="s">
        <v>9</v>
      </c>
      <c r="B25" t="s">
        <v>12</v>
      </c>
      <c r="C25" t="s">
        <v>45</v>
      </c>
      <c r="D25" s="5" t="s">
        <v>17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20</v>
      </c>
      <c r="D26" s="5" t="s">
        <v>16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36</v>
      </c>
      <c r="D27" s="5" t="s">
        <v>16</v>
      </c>
      <c r="E27">
        <v>2</v>
      </c>
      <c r="F27">
        <v>1</v>
      </c>
      <c r="G27" s="6">
        <f>ROUND(F27/E27,2)</f>
        <v>0.5</v>
      </c>
    </row>
    <row r="28" spans="1:7" x14ac:dyDescent="0.25">
      <c r="A28" t="s">
        <v>9</v>
      </c>
      <c r="B28" t="s">
        <v>12</v>
      </c>
      <c r="C28" t="s">
        <v>14</v>
      </c>
      <c r="D28" s="5" t="s">
        <v>16</v>
      </c>
      <c r="E28">
        <v>2</v>
      </c>
      <c r="F28">
        <v>1</v>
      </c>
      <c r="G28" s="6">
        <f>ROUND(F28/E28,2)</f>
        <v>0.5</v>
      </c>
    </row>
    <row r="29" spans="1:7" x14ac:dyDescent="0.25">
      <c r="A29" t="s">
        <v>9</v>
      </c>
      <c r="B29" t="s">
        <v>12</v>
      </c>
      <c r="C29" t="s">
        <v>28</v>
      </c>
      <c r="D29" s="5" t="s">
        <v>17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28</v>
      </c>
      <c r="D30" s="5" t="s">
        <v>16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42</v>
      </c>
      <c r="D31" s="5" t="s">
        <v>17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34</v>
      </c>
      <c r="D32" s="5" t="s">
        <v>31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34</v>
      </c>
      <c r="D33" s="5" t="s">
        <v>37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34</v>
      </c>
      <c r="D34" s="5" t="s">
        <v>16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34</v>
      </c>
      <c r="D35" s="5" t="s">
        <v>39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40</v>
      </c>
      <c r="D36" s="5" t="s">
        <v>41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24</v>
      </c>
      <c r="D37" s="5" t="s">
        <v>16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29</v>
      </c>
      <c r="D38" s="5" t="s">
        <v>16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29</v>
      </c>
      <c r="D39" s="5" t="s">
        <v>31</v>
      </c>
      <c r="E39">
        <v>2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38</v>
      </c>
      <c r="D40" s="5" t="s">
        <v>17</v>
      </c>
      <c r="E40">
        <v>2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38</v>
      </c>
      <c r="D41" s="5" t="s">
        <v>16</v>
      </c>
      <c r="E41">
        <v>1</v>
      </c>
      <c r="F41">
        <v>1</v>
      </c>
      <c r="G41" s="6">
        <f>ROUND(F41/E41,2)</f>
        <v>1</v>
      </c>
    </row>
    <row r="42" spans="1:7" x14ac:dyDescent="0.25">
      <c r="A42" t="s">
        <v>9</v>
      </c>
      <c r="B42" t="s">
        <v>12</v>
      </c>
      <c r="C42" t="s">
        <v>23</v>
      </c>
      <c r="D42" s="5" t="s">
        <v>17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33</v>
      </c>
      <c r="D43" s="5" t="s">
        <v>17</v>
      </c>
      <c r="E43">
        <v>2</v>
      </c>
      <c r="F43">
        <v>1</v>
      </c>
      <c r="G43" s="6">
        <f>ROUND(F43/E43,2)</f>
        <v>0.5</v>
      </c>
    </row>
    <row r="44" spans="1:7" x14ac:dyDescent="0.25">
      <c r="A44" t="s">
        <v>9</v>
      </c>
      <c r="B44" t="s">
        <v>12</v>
      </c>
      <c r="C44" t="s">
        <v>43</v>
      </c>
      <c r="D44" s="5" t="s">
        <v>16</v>
      </c>
      <c r="E44">
        <v>1</v>
      </c>
      <c r="F44">
        <v>1</v>
      </c>
      <c r="G44" s="6">
        <f>ROUND(F44/E44,2)</f>
        <v>1</v>
      </c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2025-07-24T07:21:01Z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