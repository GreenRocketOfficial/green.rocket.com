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00000000-0000-0000-0000-00000000000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78" documentId="13_ncr:1_{32BD3745-769A-4363-92E4-3EACA8D86657}" xr6:coauthVersionLast="47" xr6:coauthVersionMax="47" xr10:uidLastSave="{010DEBF5-6FDF-204B-B1E4-20F9CEAA9957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2" i="11"/>
  <c r="F17" i="12"/>
  <c r="J22" i="12"/>
  <c r="L22" i="12"/>
  <c r="J23" i="12"/>
  <c r="L23" i="12"/>
  <c r="J21" i="12"/>
  <c r="L21" i="12"/>
  <c r="J24" i="12"/>
  <c r="L24" i="12"/>
  <c r="N2" i="11"/>
  <c r="F13" i="12"/>
  <c r="M2" i="11"/>
  <c r="F12" i="12"/>
  <c r="L2" i="11"/>
  <c r="F14" i="12"/>
  <c r="F11" i="12"/>
</calcChain>
</file>

<file path=xl/sharedStrings.xml><?xml version="1.0" encoding="utf-8"?>
<sst xmlns="http://schemas.openxmlformats.org/spreadsheetml/2006/main" count="46" uniqueCount="36">
  <si>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</si>
  <si>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</si>
  <si>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</si>
  <si>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</si>
  <si>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</si>
  <si>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</si>
  <si>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</si>
  <si>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</si>
  <si>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</si>
  <si>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</si>
  <si>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</si>
  <si>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</si>
  <si>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</si>
  <si>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</si>
  <si>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</si>
  <si>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</si>
  <si>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</si>
  <si>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</si>
  <si>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</si>
  <si>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</si>
  <si>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</si>
  <si>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</si>
  <si>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</si>
  <si>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</si>
  <si>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+ 0</t>
  </si>
  <si>
    <t>Statistik Division 4</t>
  </si>
  <si>
    <t>DE013</t>
  </si>
  <si>
    <t>DE014</t>
  </si>
  <si>
    <t>DE015</t>
  </si>
  <si>
    <t>DE016</t>
  </si>
  <si>
    <t>+ 3</t>
  </si>
  <si>
    <t>+ 2</t>
  </si>
  <si>
    <t>+ 1</t>
  </si>
  <si>
    <t>+ 4</t>
  </si>
  <si>
    <t>Stand: 07.08.2025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</si>
</sst>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13" dataDxfId="8"/>
    <tableColumn id="7" xr3:uid="{5E213DFF-7615-48CF-8944-4C071C187C55}" name="DE014" dataDxfId="7"/>
    <tableColumn id="8" xr3:uid="{265603BC-E9E1-462B-9A6D-C0F306480253}" name="DE015" dataDxfId="6"/>
    <tableColumn id="9" xr3:uid="{8305AF6F-BFE9-4D5B-8B01-3CF39FA2D0B3}" name="DE016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topLeftCell="C1" zoomScale="40" zoomScaleNormal="40" workbookViewId="0">
      <pane ySplit="9" topLeftCell="C10" activePane="bottomLeft" state="frozen"/>
      <selection activeCell="Z33" sqref="Z33"/>
      <selection pane="bottomLeft" activeCell="L32" sqref="L32"/>
    </sheetView>
  </sheetViews>
  <sheetFormatPr defaultColWidth="10.76171875" defaultRowHeight="15" x14ac:dyDescent="0.2"/>
  <cols>
    <col min="1" max="1" width="12.64453125" customWidth="1"/>
    <col min="2" max="3" width="12.5078125" customWidth="1"/>
    <col min="4" max="4" width="12.64453125" customWidth="1"/>
    <col min="5" max="5" width="12.5078125" customWidth="1"/>
    <col min="6" max="6" width="12.64453125" customWidth="1"/>
    <col min="7" max="8" width="12.5078125" customWidth="1"/>
    <col min="9" max="11" width="12.64453125" customWidth="1"/>
    <col min="12" max="14" width="12.5078125" customWidth="1"/>
    <col min="15" max="15" width="12.64453125" customWidth="1"/>
    <col min="16" max="16" width="12.5078125" customWidth="1"/>
    <col min="17" max="17" width="17.08203125" bestFit="1" customWidth="1"/>
    <col min="18" max="18" width="17.21875" bestFit="1" customWidth="1"/>
    <col min="19" max="19" width="5.6484375" customWidth="1"/>
    <col min="20" max="20" width="13.85546875" bestFit="1" customWidth="1"/>
  </cols>
  <sheetData>
    <row r="1" spans="1:24" ht="14.45" customHeight="1" x14ac:dyDescent="0.2">
      <c r="A1" s="15"/>
      <c r="B1" s="15"/>
      <c r="C1" s="27" t="s">
        <v>25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">
      <c r="A6" s="15"/>
      <c r="B6" s="15"/>
      <c r="C6" s="15"/>
      <c r="D6" s="15"/>
      <c r="E6" s="15"/>
      <c r="F6" s="15"/>
      <c r="G6" s="28" t="s">
        <v>34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4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7.25" x14ac:dyDescent="0.2">
      <c r="A11" s="38" t="s">
        <v>11</v>
      </c>
      <c r="B11" s="38"/>
      <c r="C11" s="38"/>
      <c r="D11" s="38"/>
      <c r="E11" s="38"/>
      <c r="F11" s="38">
        <f>Finanzen!L2</f>
        <v>1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">
      <c r="A12" s="38" t="s">
        <v>18</v>
      </c>
      <c r="B12" s="38"/>
      <c r="C12" s="38"/>
      <c r="D12" s="38"/>
      <c r="E12" s="38"/>
      <c r="F12" s="37">
        <f>Finanzen!M2</f>
        <v>0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7.25" x14ac:dyDescent="0.2">
      <c r="A13" s="38" t="s">
        <v>19</v>
      </c>
      <c r="B13" s="38"/>
      <c r="C13" s="38"/>
      <c r="D13" s="38"/>
      <c r="E13" s="38"/>
      <c r="F13" s="26">
        <f>Finanzen!N2</f>
        <v>1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7.25" x14ac:dyDescent="0.2">
      <c r="A14" s="38" t="s">
        <v>6</v>
      </c>
      <c r="B14" s="38"/>
      <c r="C14" s="38"/>
      <c r="D14" s="38"/>
      <c r="E14" s="38"/>
      <c r="F14" s="38" t="str">
        <f>TEXT(Finanzen!M2/Finanzen!L2,"0,00%")</f>
        <v>0,00%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7.25" x14ac:dyDescent="0.2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7.25" x14ac:dyDescent="0.2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7.25" x14ac:dyDescent="0.7">
      <c r="A17" s="38" t="s">
        <v>10</v>
      </c>
      <c r="B17" s="38"/>
      <c r="C17" s="38"/>
      <c r="D17" s="38"/>
      <c r="E17" s="38"/>
      <c r="F17" s="39">
        <f>SUM(Finanzen!D:D)</f>
        <v>0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7.25" x14ac:dyDescent="0.7">
      <c r="A18" s="38" t="s">
        <v>21</v>
      </c>
      <c r="B18" s="38"/>
      <c r="C18" s="38"/>
      <c r="D18" s="38"/>
      <c r="E18" s="38"/>
      <c r="F18" s="39">
        <f>2002 + SUM(Finanzen!J:J)</f>
        <v>1901.9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8" thickBot="1" x14ac:dyDescent="0.25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7.25" x14ac:dyDescent="0.7">
      <c r="A21" s="44">
        <v>1</v>
      </c>
      <c r="B21" s="45"/>
      <c r="C21" s="46" t="s">
        <v>27</v>
      </c>
      <c r="D21" s="47"/>
      <c r="E21" s="48"/>
      <c r="F21" s="23">
        <v>2</v>
      </c>
      <c r="G21" s="12" t="s">
        <v>31</v>
      </c>
      <c r="H21" s="24">
        <v>2</v>
      </c>
      <c r="I21" s="12" t="s">
        <v>31</v>
      </c>
      <c r="J21" s="24">
        <f>F21+H21</f>
        <v>4</v>
      </c>
      <c r="K21" s="12" t="s">
        <v>33</v>
      </c>
      <c r="L21" s="51" t="str">
        <f>TEXT(F21/J21,"0,00%")</f>
        <v>50,00%</v>
      </c>
      <c r="M21" s="52"/>
      <c r="N21" s="7"/>
      <c r="O21" s="7"/>
      <c r="P21" s="7"/>
      <c r="Q21" s="7"/>
      <c r="R21" s="7"/>
      <c r="S21" s="7"/>
      <c r="T21" s="7"/>
      <c r="U21" s="7"/>
      <c r="V21" s="7"/>
    </row>
    <row r="22" spans="1:66" ht="47.25" x14ac:dyDescent="0.7">
      <c r="A22" s="44">
        <v>2</v>
      </c>
      <c r="B22" s="45"/>
      <c r="C22" s="41" t="s">
        <v>29</v>
      </c>
      <c r="D22" s="42"/>
      <c r="E22" s="43"/>
      <c r="F22" s="20">
        <v>1</v>
      </c>
      <c r="G22" s="21" t="s">
        <v>32</v>
      </c>
      <c r="H22" s="22">
        <v>3</v>
      </c>
      <c r="I22" s="21" t="s">
        <v>30</v>
      </c>
      <c r="J22" s="22">
        <f>F22+H22</f>
        <v>4</v>
      </c>
      <c r="K22" s="21" t="s">
        <v>33</v>
      </c>
      <c r="L22" s="49" t="str">
        <f>TEXT(F22/J22,"0,00%")</f>
        <v>25,00%</v>
      </c>
      <c r="M22" s="50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x14ac:dyDescent="0.7">
      <c r="A23" s="44">
        <v>3</v>
      </c>
      <c r="B23" s="45"/>
      <c r="C23" s="46" t="s">
        <v>26</v>
      </c>
      <c r="D23" s="47"/>
      <c r="E23" s="48"/>
      <c r="F23" s="13">
        <v>0</v>
      </c>
      <c r="G23" s="12" t="s">
        <v>24</v>
      </c>
      <c r="H23" s="14">
        <v>3</v>
      </c>
      <c r="I23" s="12" t="s">
        <v>30</v>
      </c>
      <c r="J23" s="14">
        <f>F23+H23</f>
        <v>3</v>
      </c>
      <c r="K23" s="12" t="s">
        <v>30</v>
      </c>
      <c r="L23" s="51" t="str">
        <f>TEXT(F23/J23,"0,00%")</f>
        <v>0,00%</v>
      </c>
      <c r="M23" s="52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x14ac:dyDescent="0.7">
      <c r="A24" s="44">
        <v>4</v>
      </c>
      <c r="B24" s="45"/>
      <c r="C24" s="46" t="s">
        <v>28</v>
      </c>
      <c r="D24" s="47"/>
      <c r="E24" s="48"/>
      <c r="F24" s="13">
        <v>0</v>
      </c>
      <c r="G24" s="12" t="s">
        <v>24</v>
      </c>
      <c r="H24" s="14">
        <v>3</v>
      </c>
      <c r="I24" s="12" t="s">
        <v>30</v>
      </c>
      <c r="J24" s="14">
        <f>F24+H24</f>
        <v>3</v>
      </c>
      <c r="K24" s="12" t="s">
        <v>30</v>
      </c>
      <c r="L24" s="51" t="str">
        <f>TEXT(F24/J24,"0,00%")</f>
        <v>0,00%</v>
      </c>
      <c r="M24" s="52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">
      <c r="A39" s="7"/>
      <c r="B39" s="7"/>
      <c r="C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24:B24"/>
    <mergeCell ref="C21:E21"/>
    <mergeCell ref="A18:E18"/>
    <mergeCell ref="A22:B22"/>
    <mergeCell ref="L22:M22"/>
    <mergeCell ref="L21:M21"/>
    <mergeCell ref="A23:B23"/>
    <mergeCell ref="C23:E23"/>
    <mergeCell ref="C24:E24"/>
    <mergeCell ref="L24:M24"/>
    <mergeCell ref="L23:M23"/>
    <mergeCell ref="F18:I18"/>
    <mergeCell ref="A17:E17"/>
    <mergeCell ref="C22:E22"/>
    <mergeCell ref="A11:E11"/>
    <mergeCell ref="A12:E12"/>
    <mergeCell ref="A13:E13"/>
    <mergeCell ref="A14:E14"/>
    <mergeCell ref="A21:B21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I12" sqref="I12"/>
    </sheetView>
  </sheetViews>
  <sheetFormatPr defaultColWidth="9.14453125" defaultRowHeight="15" x14ac:dyDescent="0.2"/>
  <cols>
    <col min="1" max="1" width="11.296875" bestFit="1" customWidth="1"/>
    <col min="2" max="2" width="32.5546875" bestFit="1" customWidth="1"/>
    <col min="3" max="3" width="11.97265625" bestFit="1" customWidth="1"/>
    <col min="4" max="4" width="12.64453125" bestFit="1" customWidth="1"/>
    <col min="5" max="5" width="10.76171875" bestFit="1" customWidth="1"/>
    <col min="6" max="6" width="10.22265625" bestFit="1" customWidth="1"/>
    <col min="7" max="8" width="10.76171875" bestFit="1" customWidth="1"/>
    <col min="9" max="9" width="10.0859375" bestFit="1" customWidth="1"/>
    <col min="10" max="10" width="18.96484375" bestFit="1" customWidth="1"/>
    <col min="11" max="11" width="9.28125" bestFit="1" customWidth="1"/>
    <col min="12" max="12" width="13.1796875" bestFit="1" customWidth="1"/>
    <col min="13" max="13" width="11.296875" bestFit="1" customWidth="1"/>
    <col min="15" max="15" width="10.76171875" bestFit="1" customWidth="1"/>
  </cols>
  <sheetData>
    <row r="1" spans="1:15" ht="16.149999999999999" customHeight="1" thickBo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5.75" thickTop="1" x14ac:dyDescent="0.2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0" si="0">D2-C2-F2-E2-G2-H2-I2</f>
        <v>-100.1</v>
      </c>
      <c r="L2" s="5">
        <f>COUNTA(A:A)-1</f>
        <v>1</v>
      </c>
      <c r="M2" s="5">
        <f>COUNTIF(D:D,"&gt;0")</f>
        <v>0</v>
      </c>
      <c r="N2" s="5">
        <f>COUNTIF(D:D,"0")</f>
        <v>1</v>
      </c>
    </row>
    <row r="3" spans="1:15" x14ac:dyDescent="0.2">
      <c r="A3" s="2"/>
      <c r="B3" s="3"/>
      <c r="C3" s="4"/>
      <c r="D3" s="4"/>
      <c r="E3" s="4"/>
      <c r="F3" s="4"/>
      <c r="G3" s="4"/>
      <c r="H3" s="4"/>
      <c r="I3" s="4"/>
      <c r="J3" s="19"/>
    </row>
    <row r="4" spans="1:15" x14ac:dyDescent="0.2">
      <c r="A4" s="2"/>
      <c r="B4" s="3"/>
      <c r="C4" s="4"/>
      <c r="D4" s="4"/>
      <c r="E4" s="4"/>
      <c r="F4" s="4"/>
      <c r="G4" s="4"/>
      <c r="H4" s="4"/>
      <c r="I4" s="4"/>
      <c r="J4" s="19"/>
    </row>
    <row r="5" spans="1:15" x14ac:dyDescent="0.2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x14ac:dyDescent="0.2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x14ac:dyDescent="0.2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x14ac:dyDescent="0.2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x14ac:dyDescent="0.2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x14ac:dyDescent="0.2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Excel iOS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2025-07-10T17:32:09Z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