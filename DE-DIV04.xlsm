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54" documentId="13_ncr:1_{32BD3745-769A-4363-92E4-3EACA8D86657}" xr6:coauthVersionLast="47" xr6:coauthVersionMax="47" xr10:uidLastSave="{A16D5281-7816-4F1F-B6BE-072D4339D831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J2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<sst xmlns="http://schemas.openxmlformats.org/spreadsheetml/2006/main" count="46" uniqueCount="31">
  <si>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</si>
  <si>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</si>
  <si>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</si>
  <si>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</si>
  <si>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</si>
  <si>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</si>
  <si>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</si>
  <si>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</si>
  <si>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</si>
  <si>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</si>
  <si>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</si>
  <si>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</si>
  <si>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</si>
  <si>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</si>
  <si>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</si>
  <si>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</si>
  <si>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</si>
  <si>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</si>
  <si>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</si>
  <si>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</si>
  <si>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</si>
  <si>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</si>
  <si>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</si>
  <si>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Leiter</t>
  </si>
  <si>
    <t>+ 0</t>
  </si>
  <si>
    <t>Statistik Division 4</t>
  </si>
  <si>
    <t>Stand: 01.08.2025</t>
  </si>
  <si>
    <t>DE013</t>
  </si>
  <si>
    <t>DE014</t>
  </si>
  <si>
    <t>DE015</t>
  </si>
  <si>
    <t>DE016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</si>
</sst>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2" totalsRowShown="0" headerRowDxfId="14" dataDxfId="13">
  <autoFilter ref="A1:I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13" dataDxfId="8"/>
    <tableColumn id="7" xr3:uid="{5E213DFF-7615-48CF-8944-4C071C187C55}" name="DE014" dataDxfId="7"/>
    <tableColumn id="8" xr3:uid="{265603BC-E9E1-462B-9A6D-C0F306480253}" name="DE015" dataDxfId="6"/>
    <tableColumn id="9" xr3:uid="{8305AF6F-BFE9-4D5B-8B01-3CF39FA2D0B3}" name="DE016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A19" sqref="A19:O19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7" t="s">
        <v>25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8" t="s">
        <v>26</v>
      </c>
      <c r="H6" s="29"/>
      <c r="I6" s="29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9"/>
      <c r="H7" s="29"/>
      <c r="I7" s="29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5" t="s">
        <v>15</v>
      </c>
      <c r="B10" s="25"/>
      <c r="C10" s="25"/>
      <c r="D10" s="25"/>
      <c r="E10" s="25"/>
      <c r="F10" s="25"/>
      <c r="G10" s="25"/>
      <c r="H10" s="25"/>
      <c r="I10" s="2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1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37">
        <f>Finanzen!M2</f>
        <v>0</v>
      </c>
      <c r="G12" s="37"/>
      <c r="H12" s="37"/>
      <c r="I12" s="3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26">
        <f>Finanzen!N2</f>
        <v>1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0,00%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5" t="s">
        <v>16</v>
      </c>
      <c r="B16" s="25"/>
      <c r="C16" s="25"/>
      <c r="D16" s="25"/>
      <c r="E16" s="25"/>
      <c r="F16" s="25"/>
      <c r="G16" s="25"/>
      <c r="H16" s="25"/>
      <c r="I16" s="2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39">
        <f>SUM(Finanzen!D:D)</f>
        <v>0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9">
        <f>2002 + SUM(Finanzen!J:J)</f>
        <v>1901.9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5" t="s">
        <v>17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44">
        <v>1</v>
      </c>
      <c r="B21" s="45"/>
      <c r="C21" s="46" t="s">
        <v>27</v>
      </c>
      <c r="D21" s="47"/>
      <c r="E21" s="48"/>
      <c r="F21" s="13">
        <v>0</v>
      </c>
      <c r="G21" s="12" t="s">
        <v>24</v>
      </c>
      <c r="H21" s="14">
        <v>0</v>
      </c>
      <c r="I21" s="12" t="s">
        <v>24</v>
      </c>
      <c r="J21" s="14">
        <f>F21+H21</f>
        <v>0</v>
      </c>
      <c r="K21" s="12" t="s">
        <v>24</v>
      </c>
      <c r="L21" s="49" t="e">
        <f>TEXT(F21/J21,"0,00%")</f>
        <v>#DIV/0!</v>
      </c>
      <c r="M21" s="50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44">
        <v>2</v>
      </c>
      <c r="B22" s="45"/>
      <c r="C22" s="46" t="s">
        <v>28</v>
      </c>
      <c r="D22" s="47"/>
      <c r="E22" s="48"/>
      <c r="F22" s="23">
        <v>0</v>
      </c>
      <c r="G22" s="12" t="s">
        <v>24</v>
      </c>
      <c r="H22" s="24">
        <v>0</v>
      </c>
      <c r="I22" s="12" t="s">
        <v>24</v>
      </c>
      <c r="J22" s="24">
        <f>F22+H22</f>
        <v>0</v>
      </c>
      <c r="K22" s="12" t="s">
        <v>24</v>
      </c>
      <c r="L22" s="49" t="e">
        <f>TEXT(F22/J22,"0,00%")</f>
        <v>#DIV/0!</v>
      </c>
      <c r="M22" s="50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44">
        <v>3</v>
      </c>
      <c r="B23" s="45"/>
      <c r="C23" s="46" t="s">
        <v>29</v>
      </c>
      <c r="D23" s="47"/>
      <c r="E23" s="48"/>
      <c r="F23" s="13">
        <v>0</v>
      </c>
      <c r="G23" s="12" t="s">
        <v>24</v>
      </c>
      <c r="H23" s="14">
        <v>0</v>
      </c>
      <c r="I23" s="12" t="s">
        <v>24</v>
      </c>
      <c r="J23" s="14">
        <f>F23+H23</f>
        <v>0</v>
      </c>
      <c r="K23" s="12" t="s">
        <v>24</v>
      </c>
      <c r="L23" s="49" t="e">
        <f>TEXT(F23/J23,"0,00%")</f>
        <v>#DIV/0!</v>
      </c>
      <c r="M23" s="50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4">
        <v>4</v>
      </c>
      <c r="B24" s="45"/>
      <c r="C24" s="41" t="s">
        <v>30</v>
      </c>
      <c r="D24" s="42"/>
      <c r="E24" s="43"/>
      <c r="F24" s="20">
        <v>0</v>
      </c>
      <c r="G24" s="21" t="s">
        <v>24</v>
      </c>
      <c r="H24" s="22">
        <v>0</v>
      </c>
      <c r="I24" s="21" t="s">
        <v>24</v>
      </c>
      <c r="J24" s="22">
        <f>F24+H24</f>
        <v>0</v>
      </c>
      <c r="K24" s="21" t="s">
        <v>24</v>
      </c>
      <c r="L24" s="51" t="e">
        <f>TEXT(F24/J24,"0,00%")</f>
        <v>#DIV/0!</v>
      </c>
      <c r="M24" s="52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4:M24"/>
    <mergeCell ref="L22:M22"/>
    <mergeCell ref="A23:B23"/>
    <mergeCell ref="C21:E21"/>
    <mergeCell ref="C23:E23"/>
    <mergeCell ref="L23:M23"/>
    <mergeCell ref="L21:M21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I12" sqref="I1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23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45870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0" si="0">D2-C2-F2-E2-G2-H2-I2</f>
        <v>-100.1</v>
      </c>
      <c r="L2" s="5">
        <f>COUNTA(A:A)-1</f>
        <v>1</v>
      </c>
      <c r="M2" s="5">
        <f>COUNTIF(D:D,"&gt;0")</f>
        <v>0</v>
      </c>
      <c r="N2" s="5">
        <f>COUNTIF(D:D,"0")</f>
        <v>1</v>
      </c>
    </row>
    <row r="3" spans="1:15" ht="15.75" x14ac:dyDescent="0.25">
      <c r="A3" s="2"/>
      <c r="B3" s="3"/>
      <c r="C3" s="4"/>
      <c r="D3" s="4"/>
      <c r="E3" s="4"/>
      <c r="F3" s="4"/>
      <c r="G3" s="4"/>
      <c r="H3" s="4"/>
      <c r="I3" s="4"/>
      <c r="J3" s="19"/>
    </row>
    <row r="4" spans="1:15" ht="15.75" x14ac:dyDescent="0.25">
      <c r="A4" s="2"/>
      <c r="B4" s="3"/>
      <c r="C4" s="4"/>
      <c r="D4" s="4"/>
      <c r="E4" s="4"/>
      <c r="F4" s="4"/>
      <c r="G4" s="4"/>
      <c r="H4" s="4"/>
      <c r="I4" s="4"/>
      <c r="J4" s="19"/>
    </row>
    <row r="5" spans="1:15" ht="15.75" x14ac:dyDescent="0.25">
      <c r="A5" s="2"/>
      <c r="B5" s="3"/>
      <c r="C5" s="4"/>
      <c r="D5" s="4"/>
      <c r="E5" s="4"/>
      <c r="F5" s="4"/>
      <c r="G5" s="4"/>
      <c r="H5" s="4"/>
      <c r="I5" s="4"/>
      <c r="J5" s="19"/>
    </row>
    <row r="6" spans="1:15" ht="15.75" x14ac:dyDescent="0.25">
      <c r="A6" s="2"/>
      <c r="B6" s="3"/>
      <c r="C6" s="4"/>
      <c r="D6" s="4"/>
      <c r="E6" s="4"/>
      <c r="F6" s="4"/>
      <c r="G6" s="4"/>
      <c r="H6" s="4"/>
      <c r="I6" s="4"/>
      <c r="J6" s="19"/>
    </row>
    <row r="7" spans="1:15" ht="15.75" x14ac:dyDescent="0.25">
      <c r="A7" s="2"/>
      <c r="B7" s="3"/>
      <c r="C7" s="4"/>
      <c r="D7" s="4"/>
      <c r="E7" s="4"/>
      <c r="F7" s="4"/>
      <c r="G7" s="4"/>
      <c r="H7" s="4"/>
      <c r="I7" s="4"/>
      <c r="J7" s="19"/>
    </row>
    <row r="8" spans="1:15" ht="15.75" x14ac:dyDescent="0.25">
      <c r="A8" s="2"/>
      <c r="B8" s="3"/>
      <c r="C8" s="4"/>
      <c r="D8" s="4"/>
      <c r="E8" s="4"/>
      <c r="F8" s="4"/>
      <c r="G8" s="4"/>
      <c r="H8" s="4"/>
      <c r="I8" s="4"/>
      <c r="J8" s="19"/>
    </row>
    <row r="9" spans="1:15" ht="15.75" x14ac:dyDescent="0.25">
      <c r="A9" s="2"/>
      <c r="B9" s="3"/>
      <c r="C9" s="4"/>
      <c r="D9" s="4"/>
      <c r="E9" s="4"/>
      <c r="F9" s="4"/>
      <c r="G9" s="4"/>
      <c r="H9" s="4"/>
      <c r="I9" s="4"/>
      <c r="J9" s="19"/>
    </row>
    <row r="10" spans="1:15" ht="15.75" x14ac:dyDescent="0.25">
      <c r="A10" s="2"/>
      <c r="B10" s="3"/>
      <c r="C10" s="4"/>
      <c r="D10" s="4"/>
      <c r="E10" s="4"/>
      <c r="F10" s="4"/>
      <c r="G10" s="4"/>
      <c r="H10" s="4"/>
      <c r="I10" s="4"/>
      <c r="J10" s="19"/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2025-07-10T17:32:09Z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