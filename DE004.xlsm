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32" documentId="13_ncr:1_{CCA05ED5-2A0D-4A8C-B6F5-632FDE30DEDF}" xr6:coauthVersionLast="47" xr6:coauthVersionMax="47" xr10:uidLastSave="{6A52D4A3-BB5A-4A1A-BFD7-8C3AB504AE33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4" i="20" l="1"/>
  <c r="G63" i="20"/>
  <c r="G73" i="18"/>
  <c r="G17" i="20"/>
  <c r="G19" i="18"/>
  <c r="E13" i="21"/>
  <c r="E12" i="21"/>
  <c r="G13" i="20"/>
  <c r="G13" i="18"/>
  <c r="G39" i="20"/>
  <c r="G50" i="20"/>
  <c r="G28" i="20"/>
  <c r="G22" i="20"/>
  <c r="G32" i="18"/>
  <c r="G26" i="18"/>
  <c r="G75" i="20"/>
  <c r="G88" i="18"/>
  <c r="G37" i="20"/>
  <c r="G41" i="18"/>
  <c r="G81" i="20"/>
  <c r="G82" i="20"/>
  <c r="G94" i="18"/>
  <c r="G96" i="18"/>
  <c r="G26" i="20"/>
  <c r="G30" i="18"/>
  <c r="G70" i="20"/>
  <c r="G82" i="18"/>
  <c r="G33" i="20"/>
  <c r="G37" i="18"/>
  <c r="G16" i="20"/>
  <c r="G58" i="20"/>
  <c r="G17" i="18"/>
  <c r="G67" i="18"/>
  <c r="G74" i="20"/>
  <c r="G32" i="20"/>
  <c r="G36" i="18"/>
  <c r="G48" i="20"/>
  <c r="G21" i="20"/>
  <c r="G56" i="18"/>
  <c r="G25" i="18"/>
  <c r="G68" i="20"/>
  <c r="G40" i="20"/>
  <c r="G38" i="20"/>
  <c r="G79" i="18"/>
  <c r="G44" i="18"/>
  <c r="G41" i="20"/>
  <c r="G57" i="20"/>
  <c r="G45" i="18"/>
  <c r="G76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49" i="20"/>
  <c r="G51" i="20"/>
  <c r="G52" i="20"/>
  <c r="G53" i="20"/>
  <c r="G54" i="20"/>
  <c r="G55" i="20"/>
  <c r="G56" i="20"/>
  <c r="G59" i="20"/>
  <c r="G60" i="20"/>
  <c r="G61" i="20"/>
  <c r="G62" i="20"/>
  <c r="G65" i="20"/>
  <c r="G66" i="20"/>
  <c r="G67" i="20"/>
  <c r="G69" i="20"/>
  <c r="G71" i="20"/>
  <c r="G72" i="20"/>
  <c r="G73" i="20"/>
  <c r="G77" i="20"/>
  <c r="G78" i="20"/>
  <c r="G79" i="20"/>
  <c r="G80" i="20"/>
</calcChain>
</file>

<file path=xl/sharedStrings.xml><?xml version="1.0" encoding="utf-8"?>
<sst xmlns="http://schemas.openxmlformats.org/spreadsheetml/2006/main" count="653" uniqueCount="92">
  <si>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</si>
  <si>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</si>
  <si>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</si>
  <si>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</si>
  <si>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</si>
  <si>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</si>
  <si>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</si>
  <si>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</si>
  <si>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</si>
  <si>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</si>
  <si>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</si>
  <si>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</si>
  <si>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</si>
  <si>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</si>
  <si>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</si>
  <si>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</si>
  <si>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</si>
  <si>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</si>
  <si>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</si>
  <si>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</si>
  <si>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</si>
  <si>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</si>
  <si>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</si>
  <si>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</si>
  <si>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</si>
  <si>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</si>
  <si>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</si>
  <si>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</si>
  <si>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</si>
  <si>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</si>
  <si>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</si>
  <si>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</si>
  <si>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</si>
  <si>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</si>
  <si>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</si>
  <si>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</si>
  <si>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</si>
  <si>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</si>
  <si>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</si>
  <si>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</si>
  <si>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</si>
  <si>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</si>
  <si>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</si>
  <si>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</si>
  <si>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</si>
  <si>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</si>
  <si>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</si>
  <si>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</si>
  <si>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</si>
  <si>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</si>
  <si>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</si>
  <si>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</si>
  <si>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</si>
  <si>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</si>
  <si>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</si>
  <si>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</si>
  <si>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</si>
  <si>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</si>
  <si>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</si>
  <si>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</si>
  <si>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</si>
  <si>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</si>
  <si>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</si>
  <si>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</si>
  <si>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</si>
  <si>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</si>
  <si>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</si>
  <si>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</si>
  <si>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</si>
  <si>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</si>
  <si>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</si>
  <si>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</si>
  <si>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</si>
  <si>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</si>
  <si>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</si>
  <si>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</si>
  <si>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</si>
  <si>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</si>
  <si>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</si>
  <si>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</si>
  <si>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</si>
  <si>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</si>
  <si>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</si>
  <si>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</si>
  <si>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</si>
  <si>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</si>
  <si>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</si>
  <si>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Sieg aus 1. Ligen der Top 5 Europas</t>
  </si>
  <si>
    <t>3x Unentschieden aus kleinen Ligen</t>
  </si>
  <si>
    <t>Brasilien 2</t>
  </si>
  <si>
    <t>Peru 1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</si>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</sst>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2" totalsRowShown="0">
  <autoFilter ref="A11:G82" xr:uid="{C312ECBC-370A-48F5-9745-177D5CBECA62}"/>
  <sortState xmlns:xlrd2="http://schemas.microsoft.com/office/spreadsheetml/2017/richdata2" ref="A12:G82">
    <sortCondition ref="C11:C8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abSelected="1" zoomScaleNormal="100" workbookViewId="0">
      <pane ySplit="11" topLeftCell="A12" activePane="bottomLeft" state="frozen"/>
      <selection pane="bottomLeft" activeCell="A62" sqref="A6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82</v>
      </c>
      <c r="B19" t="s">
        <v>4</v>
      </c>
      <c r="C19" t="s">
        <v>89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 t="shared" si="0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 t="shared" si="0"/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 t="shared" si="0"/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 t="shared" si="0"/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 t="shared" si="0"/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 t="shared" si="0"/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 t="shared" si="0"/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 t="shared" si="0"/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 t="shared" si="0"/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 t="shared" si="0"/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 t="shared" si="1"/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 t="shared" si="1"/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 t="shared" si="1"/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 t="shared" si="1"/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 t="shared" si="1"/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4</v>
      </c>
      <c r="F52">
        <v>0</v>
      </c>
      <c r="G52" s="6">
        <f t="shared" si="1"/>
        <v>0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6</v>
      </c>
      <c r="F57">
        <v>5</v>
      </c>
      <c r="G57" s="6">
        <f t="shared" si="1"/>
        <v>0.83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 t="shared" si="1"/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 t="shared" si="1"/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 t="shared" si="1"/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 t="shared" si="1"/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 t="shared" si="1"/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82</v>
      </c>
      <c r="B73" t="s">
        <v>4</v>
      </c>
      <c r="C73" t="s">
        <v>90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 t="shared" si="1"/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 t="shared" ref="G76:G107" si="2"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 t="shared" si="2"/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 t="shared" si="2"/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 t="shared" si="2"/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7</v>
      </c>
      <c r="F86">
        <v>3</v>
      </c>
      <c r="G86" s="6">
        <f t="shared" si="2"/>
        <v>0.43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 t="shared" si="2"/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2</v>
      </c>
      <c r="F92">
        <v>1</v>
      </c>
      <c r="G92" s="6">
        <f t="shared" si="2"/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 t="shared" si="2"/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 t="shared" si="2"/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 t="shared" si="2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89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>ROUND(F29/E29,2)</f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>ROUND(F43/E43,2)</f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4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73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48</v>
      </c>
      <c r="D49" t="s">
        <v>5</v>
      </c>
      <c r="E49">
        <v>6</v>
      </c>
      <c r="F49">
        <v>5</v>
      </c>
      <c r="G49" s="6">
        <f>ROUND(F49/E49,2)</f>
        <v>0.83</v>
      </c>
    </row>
    <row r="50" spans="1:7" x14ac:dyDescent="0.25">
      <c r="A50" t="s">
        <v>82</v>
      </c>
      <c r="B50" t="s">
        <v>4</v>
      </c>
      <c r="C50" t="s">
        <v>56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19</v>
      </c>
      <c r="D51" t="s">
        <v>39</v>
      </c>
      <c r="E51">
        <v>3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33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32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46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5</v>
      </c>
      <c r="E55">
        <v>4</v>
      </c>
      <c r="F55">
        <v>1</v>
      </c>
      <c r="G55" s="6">
        <f>ROUND(F55/E55,2)</f>
        <v>0.25</v>
      </c>
    </row>
    <row r="56" spans="1:7" x14ac:dyDescent="0.25">
      <c r="A56" t="s">
        <v>82</v>
      </c>
      <c r="B56" t="s">
        <v>4</v>
      </c>
      <c r="C56" t="s">
        <v>67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54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75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82</v>
      </c>
      <c r="B59" t="s">
        <v>34</v>
      </c>
      <c r="C59" t="s">
        <v>35</v>
      </c>
      <c r="D59" t="s">
        <v>68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31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41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60</v>
      </c>
      <c r="D62" t="s">
        <v>5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82</v>
      </c>
      <c r="B63" t="s">
        <v>4</v>
      </c>
      <c r="C63" t="s">
        <v>90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36</v>
      </c>
      <c r="D64" s="5" t="s">
        <v>5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82</v>
      </c>
      <c r="B65" t="s">
        <v>4</v>
      </c>
      <c r="C65" t="s">
        <v>28</v>
      </c>
      <c r="D65" t="s">
        <v>5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82</v>
      </c>
      <c r="B66" t="s">
        <v>4</v>
      </c>
      <c r="C66" t="s">
        <v>10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66</v>
      </c>
      <c r="D67" s="5" t="s">
        <v>5</v>
      </c>
      <c r="E67">
        <v>5</v>
      </c>
      <c r="F67">
        <v>2</v>
      </c>
      <c r="G67" s="6">
        <f>ROUND(F67/E67,2)</f>
        <v>0.4</v>
      </c>
    </row>
    <row r="68" spans="1:7" x14ac:dyDescent="0.25">
      <c r="A68" t="s">
        <v>82</v>
      </c>
      <c r="B68" t="s">
        <v>4</v>
      </c>
      <c r="C68" t="s">
        <v>71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40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78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13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13</v>
      </c>
      <c r="D72" s="5" t="s">
        <v>23</v>
      </c>
      <c r="E72">
        <v>6</v>
      </c>
      <c r="F72">
        <v>3</v>
      </c>
      <c r="G72" s="6">
        <f>ROUND(F72/E72,2)</f>
        <v>0.5</v>
      </c>
    </row>
    <row r="73" spans="1:7" x14ac:dyDescent="0.25">
      <c r="A73" t="s">
        <v>82</v>
      </c>
      <c r="B73" t="s">
        <v>4</v>
      </c>
      <c r="C73" t="s">
        <v>13</v>
      </c>
      <c r="D73" s="5" t="s">
        <v>11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8</v>
      </c>
      <c r="D74" s="5" t="s">
        <v>5</v>
      </c>
      <c r="E74">
        <v>5</v>
      </c>
      <c r="F74">
        <v>2</v>
      </c>
      <c r="G74" s="6">
        <f>ROUND(F74/E74,2)</f>
        <v>0.4</v>
      </c>
    </row>
    <row r="75" spans="1:7" x14ac:dyDescent="0.25">
      <c r="A75" t="s">
        <v>82</v>
      </c>
      <c r="B75" t="s">
        <v>4</v>
      </c>
      <c r="C75" t="s">
        <v>81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82</v>
      </c>
      <c r="B76" t="s">
        <v>4</v>
      </c>
      <c r="C76" t="s">
        <v>70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16</v>
      </c>
      <c r="D77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82</v>
      </c>
      <c r="B78" s="11" t="s">
        <v>4</v>
      </c>
      <c r="C78" s="11" t="s">
        <v>30</v>
      </c>
      <c r="D78" s="11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59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s="11" t="s">
        <v>4</v>
      </c>
      <c r="C80" s="11" t="s">
        <v>61</v>
      </c>
      <c r="D80" s="11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s="11" t="s">
        <v>80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s="11" t="s">
        <v>4</v>
      </c>
      <c r="C82" s="11" t="s">
        <v>79</v>
      </c>
      <c r="D82" s="1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G83" s="6"/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87</v>
      </c>
      <c r="C12">
        <v>4</v>
      </c>
      <c r="D12">
        <v>1</v>
      </c>
      <c r="E12" s="6">
        <f t="shared" ref="E12:E13" si="0">ROUND(D12/C12,2)</f>
        <v>0.25</v>
      </c>
    </row>
    <row r="13" spans="1:18" x14ac:dyDescent="0.25">
      <c r="A13" t="s">
        <v>82</v>
      </c>
      <c r="B13" s="5" t="s">
        <v>88</v>
      </c>
      <c r="C13">
        <v>12</v>
      </c>
      <c r="D13">
        <v>8</v>
      </c>
      <c r="E13" s="6">
        <f t="shared" si="0"/>
        <v>0.67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2025-04-22T17:07:01Z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