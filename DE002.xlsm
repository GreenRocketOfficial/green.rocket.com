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32" documentId="13_ncr:1_{CCA05ED5-2A0D-4A8C-B6F5-632FDE30DEDF}" xr6:coauthVersionLast="47" xr6:coauthVersionMax="47" xr10:uidLastSave="{40585A76-183A-42CF-9D85-D7FDAFD5B78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0" i="20" l="1"/>
  <c r="G62" i="18"/>
  <c r="G63" i="20"/>
  <c r="G84" i="18"/>
  <c r="G47" i="20"/>
  <c r="G48" i="20"/>
  <c r="G49" i="20"/>
  <c r="G61" i="18"/>
  <c r="G60" i="18"/>
  <c r="G59" i="18"/>
  <c r="G68" i="20"/>
  <c r="G67" i="20"/>
  <c r="G92" i="18"/>
  <c r="G91" i="18"/>
  <c r="G18" i="20"/>
  <c r="G12" i="20"/>
  <c r="G24" i="18"/>
  <c r="G13" i="18"/>
  <c r="G76" i="20"/>
  <c r="G100" i="18"/>
  <c r="G44" i="20"/>
  <c r="G51" i="18"/>
  <c r="G37" i="20"/>
  <c r="G29" i="20"/>
  <c r="G47" i="18"/>
  <c r="G39" i="18"/>
  <c r="G74" i="20"/>
  <c r="G75" i="20"/>
  <c r="G99" i="18"/>
  <c r="G98" i="18"/>
  <c r="E14" i="21"/>
  <c r="E13" i="21"/>
  <c r="E12" i="21"/>
  <c r="G55" i="20"/>
  <c r="G71" i="18"/>
  <c r="G34" i="20"/>
  <c r="G33" i="20"/>
  <c r="G69" i="20"/>
  <c r="G93" i="18"/>
  <c r="G36" i="20"/>
  <c r="G60" i="20"/>
  <c r="G73" i="20"/>
  <c r="G97" i="18"/>
  <c r="G43" i="20"/>
  <c r="G32" i="20"/>
  <c r="G31" i="20"/>
  <c r="G44" i="18"/>
  <c r="G64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3" i="18"/>
  <c r="G64" i="18"/>
  <c r="G65" i="18"/>
  <c r="G66" i="18"/>
  <c r="G67" i="18"/>
  <c r="G68" i="18"/>
  <c r="G69" i="18"/>
  <c r="G70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5" i="18"/>
  <c r="G86" i="18"/>
  <c r="G87" i="18"/>
  <c r="G88" i="18"/>
  <c r="G89" i="18"/>
  <c r="G90" i="18"/>
  <c r="G94" i="18"/>
  <c r="G95" i="18"/>
  <c r="G96" i="18"/>
  <c r="G101" i="18"/>
  <c r="G103" i="18"/>
  <c r="G102" i="18"/>
  <c r="G104" i="18"/>
  <c r="G105" i="18"/>
  <c r="G106" i="18"/>
  <c r="G107" i="18"/>
  <c r="G108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51" i="20"/>
  <c r="G52" i="20"/>
  <c r="G53" i="20"/>
  <c r="G54" i="20"/>
  <c r="G56" i="20"/>
  <c r="G57" i="20"/>
  <c r="G58" i="20"/>
  <c r="G59" i="20"/>
  <c r="G61" i="20"/>
  <c r="G62" i="20"/>
  <c r="G65" i="20"/>
  <c r="G66" i="20"/>
  <c r="G70" i="20"/>
  <c r="G71" i="20"/>
  <c r="G72" i="20"/>
  <c r="G77" i="20"/>
  <c r="G78" i="20"/>
  <c r="G79" i="20"/>
  <c r="G80" i="20"/>
</calcChain>
</file>

<file path=xl/sharedStrings.xml><?xml version="1.0" encoding="utf-8"?>
<sst xmlns="http://schemas.openxmlformats.org/spreadsheetml/2006/main" count="695" uniqueCount="99">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</sst>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8" totalsRowShown="0">
  <autoFilter ref="A11:G108" xr:uid="{C312ECBC-370A-48F5-9745-177D5CBECA62}"/>
  <sortState xmlns:xlrd2="http://schemas.microsoft.com/office/spreadsheetml/2017/richdata2" ref="A12:G108">
    <sortCondition ref="C11:C10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0" totalsRowShown="0">
  <autoFilter ref="A11:G80" xr:uid="{C312ECBC-370A-48F5-9745-177D5CBECA62}"/>
  <sortState xmlns:xlrd2="http://schemas.microsoft.com/office/spreadsheetml/2017/richdata2" ref="A12:G80">
    <sortCondition ref="C11:C8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8"/>
  <sheetViews>
    <sheetView showGridLines="0" tabSelected="1" zoomScaleNormal="100" workbookViewId="0">
      <pane ySplit="11" topLeftCell="A12" activePane="bottomLeft" state="frozen"/>
      <selection pane="bottomLeft" activeCell="C20" sqref="C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71</v>
      </c>
      <c r="D63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22</v>
      </c>
      <c r="D64" t="s">
        <v>5</v>
      </c>
      <c r="E64">
        <v>9</v>
      </c>
      <c r="F64">
        <v>1</v>
      </c>
      <c r="G64" s="6">
        <f>ROUND(F64/E64,2)</f>
        <v>0.11</v>
      </c>
    </row>
    <row r="65" spans="1:7" x14ac:dyDescent="0.25">
      <c r="A65" t="s">
        <v>84</v>
      </c>
      <c r="B65" t="s">
        <v>4</v>
      </c>
      <c r="C65" t="s">
        <v>22</v>
      </c>
      <c r="D65" t="s">
        <v>28</v>
      </c>
      <c r="E65">
        <v>9</v>
      </c>
      <c r="F65">
        <v>3</v>
      </c>
      <c r="G65" s="6">
        <f>ROUND(F65/E65,2)</f>
        <v>0.33</v>
      </c>
    </row>
    <row r="66" spans="1:7" x14ac:dyDescent="0.25">
      <c r="A66" t="s">
        <v>84</v>
      </c>
      <c r="B66" t="s">
        <v>4</v>
      </c>
      <c r="C66" t="s">
        <v>22</v>
      </c>
      <c r="D66" t="s">
        <v>38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59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4</v>
      </c>
      <c r="C68" t="s">
        <v>22</v>
      </c>
      <c r="D68" t="s">
        <v>10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22</v>
      </c>
      <c r="D69" t="s">
        <v>61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s="5" t="s">
        <v>41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22</v>
      </c>
      <c r="D71" s="5" t="s">
        <v>70</v>
      </c>
      <c r="E71">
        <v>2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12</v>
      </c>
      <c r="C72" t="s">
        <v>42</v>
      </c>
      <c r="D72" t="s">
        <v>28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84</v>
      </c>
      <c r="B73" t="s">
        <v>4</v>
      </c>
      <c r="C73" t="s">
        <v>24</v>
      </c>
      <c r="D73" t="s">
        <v>51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14</v>
      </c>
      <c r="C74" t="s">
        <v>53</v>
      </c>
      <c r="D74" t="s">
        <v>28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84</v>
      </c>
      <c r="B75" t="s">
        <v>14</v>
      </c>
      <c r="C75" t="s">
        <v>53</v>
      </c>
      <c r="D75" t="s">
        <v>55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84</v>
      </c>
      <c r="B76" t="s">
        <v>14</v>
      </c>
      <c r="C76" t="s">
        <v>53</v>
      </c>
      <c r="D76" t="s">
        <v>77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12</v>
      </c>
      <c r="C77" t="s">
        <v>35</v>
      </c>
      <c r="D77" t="s">
        <v>56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44</v>
      </c>
      <c r="C78" t="s">
        <v>45</v>
      </c>
      <c r="D78" t="s">
        <v>28</v>
      </c>
      <c r="E78">
        <v>9</v>
      </c>
      <c r="F78">
        <v>4</v>
      </c>
      <c r="G78" s="6">
        <f>ROUND(F78/E78,2)</f>
        <v>0.44</v>
      </c>
    </row>
    <row r="79" spans="1:7" x14ac:dyDescent="0.25">
      <c r="A79" t="s">
        <v>84</v>
      </c>
      <c r="B79" t="s">
        <v>44</v>
      </c>
      <c r="C79" t="s">
        <v>45</v>
      </c>
      <c r="D79" s="5" t="s">
        <v>81</v>
      </c>
      <c r="E79">
        <v>3</v>
      </c>
      <c r="F79">
        <v>1</v>
      </c>
      <c r="G79" s="6">
        <f>ROUND(F79/E79,2)</f>
        <v>0.33</v>
      </c>
    </row>
    <row r="80" spans="1:7" x14ac:dyDescent="0.25">
      <c r="A80" t="s">
        <v>84</v>
      </c>
      <c r="B80" t="s">
        <v>4</v>
      </c>
      <c r="C80" t="s">
        <v>36</v>
      </c>
      <c r="D80" t="s">
        <v>5</v>
      </c>
      <c r="E80">
        <v>12</v>
      </c>
      <c r="F80">
        <v>3</v>
      </c>
      <c r="G80" s="6">
        <f>ROUND(F80/E80,2)</f>
        <v>0.25</v>
      </c>
    </row>
    <row r="81" spans="1:7" x14ac:dyDescent="0.25">
      <c r="A81" t="s">
        <v>84</v>
      </c>
      <c r="B81" t="s">
        <v>4</v>
      </c>
      <c r="C81" t="s">
        <v>63</v>
      </c>
      <c r="D81" s="5" t="s">
        <v>5</v>
      </c>
      <c r="E81">
        <v>2</v>
      </c>
      <c r="F81">
        <v>1</v>
      </c>
      <c r="G81" s="6">
        <f>ROUND(F81/E81,2)</f>
        <v>0.5</v>
      </c>
    </row>
    <row r="82" spans="1:7" x14ac:dyDescent="0.25">
      <c r="A82" t="s">
        <v>84</v>
      </c>
      <c r="B82" t="s">
        <v>47</v>
      </c>
      <c r="C82" t="s">
        <v>48</v>
      </c>
      <c r="D82" t="s">
        <v>28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84</v>
      </c>
      <c r="B83" t="s">
        <v>4</v>
      </c>
      <c r="C83" t="s">
        <v>66</v>
      </c>
      <c r="D83" s="5" t="s">
        <v>5</v>
      </c>
      <c r="E83">
        <v>2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12</v>
      </c>
      <c r="C84" t="s">
        <v>96</v>
      </c>
      <c r="D84" s="5" t="s">
        <v>28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46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84</v>
      </c>
      <c r="B86" t="s">
        <v>4</v>
      </c>
      <c r="C86" t="s">
        <v>33</v>
      </c>
      <c r="D86" t="s">
        <v>5</v>
      </c>
      <c r="E86">
        <v>6</v>
      </c>
      <c r="F86">
        <v>1</v>
      </c>
      <c r="G86" s="6">
        <f>ROUND(F86/E86,2)</f>
        <v>0.17</v>
      </c>
    </row>
    <row r="87" spans="1:7" x14ac:dyDescent="0.25">
      <c r="A87" t="s">
        <v>84</v>
      </c>
      <c r="B87" t="s">
        <v>47</v>
      </c>
      <c r="C87" t="s">
        <v>78</v>
      </c>
      <c r="D87" s="5" t="s">
        <v>28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79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13</v>
      </c>
      <c r="C89" t="s">
        <v>9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t="s">
        <v>4</v>
      </c>
      <c r="C90" t="s">
        <v>62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4</v>
      </c>
      <c r="C91" t="s">
        <v>94</v>
      </c>
      <c r="D91" s="5" t="s">
        <v>28</v>
      </c>
      <c r="E91">
        <v>1</v>
      </c>
      <c r="F91">
        <v>1</v>
      </c>
      <c r="G91" s="6">
        <f>ROUND(F91/E91,2)</f>
        <v>1</v>
      </c>
    </row>
    <row r="92" spans="1:7" x14ac:dyDescent="0.25">
      <c r="A92" t="s">
        <v>84</v>
      </c>
      <c r="B92" t="s">
        <v>4</v>
      </c>
      <c r="C92" t="s">
        <v>94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64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84</v>
      </c>
      <c r="B94" t="s">
        <v>4</v>
      </c>
      <c r="C94" t="s">
        <v>16</v>
      </c>
      <c r="D94" t="s">
        <v>5</v>
      </c>
      <c r="E94">
        <v>13</v>
      </c>
      <c r="F94">
        <v>7</v>
      </c>
      <c r="G94" s="6">
        <f>ROUND(F94/E94,2)</f>
        <v>0.54</v>
      </c>
    </row>
    <row r="95" spans="1:7" x14ac:dyDescent="0.25">
      <c r="A95" t="s">
        <v>84</v>
      </c>
      <c r="B95" t="s">
        <v>4</v>
      </c>
      <c r="C95" t="s">
        <v>16</v>
      </c>
      <c r="D95" s="5" t="s">
        <v>59</v>
      </c>
      <c r="E95">
        <v>2</v>
      </c>
      <c r="F95">
        <v>1</v>
      </c>
      <c r="G95" s="6">
        <f>ROUND(F95/E95,2)</f>
        <v>0.5</v>
      </c>
    </row>
    <row r="96" spans="1:7" x14ac:dyDescent="0.25">
      <c r="A96" t="s">
        <v>84</v>
      </c>
      <c r="B96" t="s">
        <v>4</v>
      </c>
      <c r="C96" t="s">
        <v>16</v>
      </c>
      <c r="D96" s="5" t="s">
        <v>10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84</v>
      </c>
      <c r="B97" t="s">
        <v>4</v>
      </c>
      <c r="C97" t="s">
        <v>16</v>
      </c>
      <c r="D97" s="5" t="s">
        <v>38</v>
      </c>
      <c r="E97">
        <v>4</v>
      </c>
      <c r="F97">
        <v>0</v>
      </c>
      <c r="G97" s="6">
        <f>ROUND(F97/E97,2)</f>
        <v>0</v>
      </c>
    </row>
    <row r="98" spans="1:7" x14ac:dyDescent="0.25">
      <c r="A98" t="s">
        <v>84</v>
      </c>
      <c r="B98" t="s">
        <v>4</v>
      </c>
      <c r="C98" t="s">
        <v>16</v>
      </c>
      <c r="D98" s="5" t="s">
        <v>70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84</v>
      </c>
      <c r="B99" t="s">
        <v>4</v>
      </c>
      <c r="C99" t="s">
        <v>16</v>
      </c>
      <c r="D99" s="5" t="s">
        <v>41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84</v>
      </c>
      <c r="B100" t="s">
        <v>4</v>
      </c>
      <c r="C100" t="s">
        <v>16</v>
      </c>
      <c r="D100" s="5" t="s">
        <v>28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84</v>
      </c>
      <c r="B101" t="s">
        <v>47</v>
      </c>
      <c r="C101" t="s">
        <v>60</v>
      </c>
      <c r="D101" t="s">
        <v>28</v>
      </c>
      <c r="E101">
        <v>2</v>
      </c>
      <c r="F101">
        <v>1</v>
      </c>
      <c r="G101" s="6">
        <f>ROUND(F101/E101,2)</f>
        <v>0.5</v>
      </c>
    </row>
    <row r="102" spans="1:7" x14ac:dyDescent="0.25">
      <c r="A102" t="s">
        <v>84</v>
      </c>
      <c r="B102" t="s">
        <v>13</v>
      </c>
      <c r="C102" t="s">
        <v>8</v>
      </c>
      <c r="D102" t="s">
        <v>28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84</v>
      </c>
      <c r="B103" t="s">
        <v>13</v>
      </c>
      <c r="C103" t="s">
        <v>8</v>
      </c>
      <c r="D103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84</v>
      </c>
      <c r="B104" t="s">
        <v>4</v>
      </c>
      <c r="C104" t="s">
        <v>19</v>
      </c>
      <c r="D104" t="s">
        <v>5</v>
      </c>
      <c r="E104">
        <v>13</v>
      </c>
      <c r="F104">
        <v>5</v>
      </c>
      <c r="G104" s="6">
        <f>ROUND(F104/E104,2)</f>
        <v>0.38</v>
      </c>
    </row>
    <row r="105" spans="1:7" x14ac:dyDescent="0.25">
      <c r="A105" t="s">
        <v>84</v>
      </c>
      <c r="B105" t="s">
        <v>4</v>
      </c>
      <c r="C105" t="s">
        <v>80</v>
      </c>
      <c r="D105" s="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84</v>
      </c>
      <c r="B106" t="s">
        <v>12</v>
      </c>
      <c r="C106" t="s">
        <v>40</v>
      </c>
      <c r="D106" t="s">
        <v>39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84</v>
      </c>
      <c r="B107" t="s">
        <v>4</v>
      </c>
      <c r="C107" t="s">
        <v>21</v>
      </c>
      <c r="D107" t="s">
        <v>5</v>
      </c>
      <c r="E107">
        <v>3</v>
      </c>
      <c r="F107">
        <v>2</v>
      </c>
      <c r="G107" s="6">
        <f>ROUND(F107/E107,2)</f>
        <v>0.67</v>
      </c>
    </row>
    <row r="108" spans="1:7" x14ac:dyDescent="0.25">
      <c r="A108" t="s">
        <v>84</v>
      </c>
      <c r="B108" t="s">
        <v>12</v>
      </c>
      <c r="C108" t="s">
        <v>27</v>
      </c>
      <c r="D108" t="s">
        <v>28</v>
      </c>
      <c r="E108">
        <v>6</v>
      </c>
      <c r="F108">
        <v>2</v>
      </c>
      <c r="G108" s="6">
        <f>ROUND(F108/E108,2)</f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95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95</v>
      </c>
      <c r="D48" s="5" t="s">
        <v>5</v>
      </c>
      <c r="E48">
        <v>4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28</v>
      </c>
      <c r="E49">
        <v>4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97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71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22</v>
      </c>
      <c r="D52" t="s">
        <v>41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4</v>
      </c>
      <c r="C53" t="s">
        <v>22</v>
      </c>
      <c r="D53" s="5" t="s">
        <v>28</v>
      </c>
      <c r="E53">
        <v>6</v>
      </c>
      <c r="F53">
        <v>2</v>
      </c>
      <c r="G53" s="6">
        <f>ROUND(F53/E53,2)</f>
        <v>0.33</v>
      </c>
    </row>
    <row r="54" spans="1:7" x14ac:dyDescent="0.25">
      <c r="A54" t="s">
        <v>84</v>
      </c>
      <c r="B54" t="s">
        <v>4</v>
      </c>
      <c r="C54" t="s">
        <v>22</v>
      </c>
      <c r="D54" s="5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22</v>
      </c>
      <c r="D55" s="5" t="s">
        <v>70</v>
      </c>
      <c r="E55">
        <v>2</v>
      </c>
      <c r="F55">
        <v>0</v>
      </c>
      <c r="G55" s="6">
        <f>ROUND(F55/E55,2)</f>
        <v>0</v>
      </c>
    </row>
    <row r="56" spans="1:7" x14ac:dyDescent="0.25">
      <c r="A56" t="s">
        <v>84</v>
      </c>
      <c r="B56" s="8" t="s">
        <v>14</v>
      </c>
      <c r="C56" s="8" t="s">
        <v>53</v>
      </c>
      <c r="D56" s="8" t="s">
        <v>72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14</v>
      </c>
      <c r="C57" t="s">
        <v>53</v>
      </c>
      <c r="D57" t="s">
        <v>28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44</v>
      </c>
      <c r="C58" t="s">
        <v>45</v>
      </c>
      <c r="D58" t="s">
        <v>28</v>
      </c>
      <c r="E58">
        <v>8</v>
      </c>
      <c r="F58">
        <v>3</v>
      </c>
      <c r="G58" s="6">
        <f>ROUND(F58/E58,2)</f>
        <v>0.38</v>
      </c>
    </row>
    <row r="59" spans="1:7" x14ac:dyDescent="0.25">
      <c r="A59" t="s">
        <v>84</v>
      </c>
      <c r="B59" t="s">
        <v>44</v>
      </c>
      <c r="C59" t="s">
        <v>45</v>
      </c>
      <c r="D59" s="5" t="s">
        <v>81</v>
      </c>
      <c r="E59">
        <v>3</v>
      </c>
      <c r="F59">
        <v>1</v>
      </c>
      <c r="G59" s="6">
        <f>ROUND(F59/E59,2)</f>
        <v>0.33</v>
      </c>
    </row>
    <row r="60" spans="1:7" x14ac:dyDescent="0.25">
      <c r="A60" t="s">
        <v>84</v>
      </c>
      <c r="B60" t="s">
        <v>4</v>
      </c>
      <c r="C60" t="s">
        <v>36</v>
      </c>
      <c r="D60" s="5" t="s">
        <v>5</v>
      </c>
      <c r="E60">
        <v>5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63</v>
      </c>
      <c r="D61" t="s">
        <v>5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84</v>
      </c>
      <c r="B62" t="s">
        <v>4</v>
      </c>
      <c r="C62" t="s">
        <v>66</v>
      </c>
      <c r="D62" t="s">
        <v>5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12</v>
      </c>
      <c r="C63" t="s">
        <v>96</v>
      </c>
      <c r="D63" s="5" t="s">
        <v>28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33</v>
      </c>
      <c r="D64" s="5" t="s">
        <v>5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84</v>
      </c>
      <c r="B65" t="s">
        <v>47</v>
      </c>
      <c r="C65" t="s">
        <v>78</v>
      </c>
      <c r="D65" t="s">
        <v>28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79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94</v>
      </c>
      <c r="D67" s="5" t="s">
        <v>28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84</v>
      </c>
      <c r="B68" t="s">
        <v>4</v>
      </c>
      <c r="C68" t="s">
        <v>94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64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16</v>
      </c>
      <c r="D70" s="5" t="s">
        <v>5</v>
      </c>
      <c r="E70">
        <v>10</v>
      </c>
      <c r="F70">
        <v>6</v>
      </c>
      <c r="G70" s="6">
        <f>ROUND(F70/E70,2)</f>
        <v>0.6</v>
      </c>
    </row>
    <row r="71" spans="1:7" x14ac:dyDescent="0.25">
      <c r="A71" t="s">
        <v>84</v>
      </c>
      <c r="B71" t="s">
        <v>4</v>
      </c>
      <c r="C71" t="s">
        <v>16</v>
      </c>
      <c r="D71" s="5" t="s">
        <v>59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84</v>
      </c>
      <c r="B72" t="s">
        <v>4</v>
      </c>
      <c r="C72" t="s">
        <v>16</v>
      </c>
      <c r="D72" s="5" t="s">
        <v>10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84</v>
      </c>
      <c r="B73" t="s">
        <v>4</v>
      </c>
      <c r="C73" t="s">
        <v>16</v>
      </c>
      <c r="D73" s="5" t="s">
        <v>38</v>
      </c>
      <c r="E73">
        <v>4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</v>
      </c>
      <c r="C74" t="s">
        <v>16</v>
      </c>
      <c r="D74" s="5" t="s">
        <v>70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84</v>
      </c>
      <c r="B75" t="s">
        <v>4</v>
      </c>
      <c r="C75" t="s">
        <v>16</v>
      </c>
      <c r="D75" s="5" t="s">
        <v>41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4</v>
      </c>
      <c r="C76" t="s">
        <v>16</v>
      </c>
      <c r="D76" s="5" t="s">
        <v>28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19</v>
      </c>
      <c r="D77" s="5" t="s">
        <v>5</v>
      </c>
      <c r="E77">
        <v>6</v>
      </c>
      <c r="F77">
        <v>1</v>
      </c>
      <c r="G77" s="6">
        <f>ROUND(F77/E77,2)</f>
        <v>0.17</v>
      </c>
    </row>
    <row r="78" spans="1:7" x14ac:dyDescent="0.25">
      <c r="A78" t="s">
        <v>84</v>
      </c>
      <c r="B78" t="s">
        <v>4</v>
      </c>
      <c r="C78" t="s">
        <v>80</v>
      </c>
      <c r="D78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s="9" t="s">
        <v>4</v>
      </c>
      <c r="C79" s="9" t="s">
        <v>21</v>
      </c>
      <c r="D79" s="9" t="s">
        <v>5</v>
      </c>
      <c r="E79">
        <v>2</v>
      </c>
      <c r="F79">
        <v>1</v>
      </c>
      <c r="G79" s="6">
        <f>ROUND(F79/E79,2)</f>
        <v>0.5</v>
      </c>
    </row>
    <row r="80" spans="1:7" x14ac:dyDescent="0.25">
      <c r="A80" t="s">
        <v>84</v>
      </c>
      <c r="B80" t="s">
        <v>12</v>
      </c>
      <c r="C80" t="s">
        <v>27</v>
      </c>
      <c r="D80" t="s">
        <v>28</v>
      </c>
      <c r="E80">
        <v>2</v>
      </c>
      <c r="F80">
        <v>0</v>
      </c>
      <c r="G80" s="6">
        <f>ROUND(F80/E80,2)</f>
        <v>0</v>
      </c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