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990" documentId="13_ncr:1_{CCA05ED5-2A0D-4A8C-B6F5-632FDE30DEDF}" xr6:coauthVersionLast="47" xr6:coauthVersionMax="47" xr10:uidLastSave="{69C54324-D470-4E36-9AAA-29129D7073A4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2" i="20" l="1"/>
  <c r="G63" i="20"/>
  <c r="G87" i="18"/>
  <c r="G86" i="18"/>
  <c r="E14" i="21"/>
  <c r="E13" i="21"/>
  <c r="E12" i="21"/>
  <c r="G46" i="20"/>
  <c r="G62" i="18"/>
  <c r="G31" i="20"/>
  <c r="G30" i="20"/>
  <c r="G57" i="20"/>
  <c r="G81" i="18"/>
  <c r="G33" i="20"/>
  <c r="G51" i="20"/>
  <c r="G61" i="20"/>
  <c r="G85" i="18"/>
  <c r="G39" i="20"/>
  <c r="G29" i="20"/>
  <c r="G28" i="20"/>
  <c r="G41" i="18"/>
  <c r="G54" i="20"/>
  <c r="G32" i="20"/>
  <c r="G24" i="20"/>
  <c r="G42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2" i="18"/>
  <c r="G83" i="18"/>
  <c r="G84" i="18"/>
  <c r="G88" i="18"/>
  <c r="G89" i="18"/>
  <c r="G90" i="18"/>
  <c r="G91" i="18"/>
  <c r="G92" i="18"/>
  <c r="G93" i="18"/>
  <c r="G94" i="18"/>
  <c r="G95" i="18"/>
  <c r="G13" i="20"/>
  <c r="G12" i="20"/>
  <c r="G14" i="20"/>
  <c r="G15" i="20"/>
  <c r="G16" i="20"/>
  <c r="G17" i="20"/>
  <c r="G18" i="20"/>
  <c r="G19" i="20"/>
  <c r="G20" i="20"/>
  <c r="G21" i="20"/>
  <c r="G22" i="20"/>
  <c r="G23" i="20"/>
  <c r="G25" i="20"/>
  <c r="G26" i="20"/>
  <c r="G27" i="20"/>
  <c r="G34" i="20"/>
  <c r="G35" i="20"/>
  <c r="G36" i="20"/>
  <c r="G37" i="20"/>
  <c r="G38" i="20"/>
  <c r="G40" i="20"/>
  <c r="G41" i="20"/>
  <c r="G42" i="20"/>
  <c r="G43" i="20"/>
  <c r="G44" i="20"/>
  <c r="G45" i="20"/>
  <c r="G47" i="20"/>
  <c r="G48" i="20"/>
  <c r="G49" i="20"/>
  <c r="G50" i="20"/>
  <c r="G52" i="20"/>
  <c r="G53" i="20"/>
  <c r="G55" i="20"/>
  <c r="G56" i="20"/>
  <c r="G58" i="20"/>
  <c r="G59" i="20"/>
  <c r="G60" i="20"/>
  <c r="G64" i="20"/>
  <c r="G65" i="20"/>
  <c r="G66" i="20"/>
  <c r="G67" i="20"/>
</calcChain>
</file>

<file path=xl/sharedStrings.xml><?xml version="1.0" encoding="utf-8"?>
<sst xmlns="http://schemas.openxmlformats.org/spreadsheetml/2006/main" count="591" uniqueCount="92">
  <si>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</si>
  <si>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</si>
  <si>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</si>
  <si>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</si>
  <si>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</si>
  <si>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</si>
  <si>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</si>
  <si>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</si>
  <si>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Tschechien</t>
  </si>
  <si>
    <t>Schweden</t>
  </si>
  <si>
    <t>Torschütze</t>
  </si>
  <si>
    <t>Tennis</t>
  </si>
  <si>
    <t>Basketball</t>
  </si>
  <si>
    <t>Eishockey</t>
  </si>
  <si>
    <t>Baseball</t>
  </si>
  <si>
    <t>Bolivien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</si>
  <si>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</si>
  <si>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</si>
  <si>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</si>
  <si>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</si>
  <si>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</si>
  <si>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</si>
  <si>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</si>
  <si>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</si>
  <si>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</si>
  <si>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</si>
  <si>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</si>
  <si>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WNBA</t>
  </si>
  <si>
    <t>Sieg</t>
  </si>
  <si>
    <t>Brasilien 2</t>
  </si>
  <si>
    <t>Australien</t>
  </si>
  <si>
    <t xml:space="preserve">Fußball </t>
  </si>
  <si>
    <t>Frankreich 1</t>
  </si>
  <si>
    <t>Portugal 1</t>
  </si>
  <si>
    <t>Japan 1</t>
  </si>
  <si>
    <t>NBA</t>
  </si>
  <si>
    <t>Niederlande 1</t>
  </si>
  <si>
    <t>Chile 1</t>
  </si>
  <si>
    <t>1. Halbzeit Sieg</t>
  </si>
  <si>
    <t>1. Viertel Sieg</t>
  </si>
  <si>
    <t>U19 Länderspiel</t>
  </si>
  <si>
    <t>2. Halbzeit Sieg</t>
  </si>
  <si>
    <t>Länderspiel Frauen</t>
  </si>
  <si>
    <t>Frauen Einzel</t>
  </si>
  <si>
    <t>American Football</t>
  </si>
  <si>
    <t>NFL</t>
  </si>
  <si>
    <t>Polen 1</t>
  </si>
  <si>
    <t xml:space="preserve">Rugby </t>
  </si>
  <si>
    <t>NRL</t>
  </si>
  <si>
    <t>China 1</t>
  </si>
  <si>
    <t>Frankreich 2</t>
  </si>
  <si>
    <t>1. Halbzeit Treffer</t>
  </si>
  <si>
    <t>BBL</t>
  </si>
  <si>
    <t>MLB</t>
  </si>
  <si>
    <t>China 2</t>
  </si>
  <si>
    <t>3 Innings Sieg</t>
  </si>
  <si>
    <t>1. Viertel mehr als X Punkte</t>
  </si>
  <si>
    <t>Griechenland</t>
  </si>
  <si>
    <t>Ägypten 1</t>
  </si>
  <si>
    <t>genaues Ergebnis</t>
  </si>
  <si>
    <t>Super League</t>
  </si>
  <si>
    <t>1. Halbzeit beide treffen</t>
  </si>
  <si>
    <t>Schweden 1</t>
  </si>
  <si>
    <t>Norwegen 1</t>
  </si>
  <si>
    <t>Schweiz 1</t>
  </si>
  <si>
    <t>Belgien 1</t>
  </si>
  <si>
    <t>Österreich 1</t>
  </si>
  <si>
    <t>England 3</t>
  </si>
  <si>
    <t xml:space="preserve">DEL </t>
  </si>
  <si>
    <t>Dänemark 1</t>
  </si>
  <si>
    <t>HC 1</t>
  </si>
  <si>
    <t>Kroatien 1</t>
  </si>
  <si>
    <t>Spielerleistung Hits</t>
  </si>
  <si>
    <t>Griechenland 1</t>
  </si>
  <si>
    <t>Abgegebene Tipps</t>
  </si>
  <si>
    <t>Getroffene Tipps</t>
  </si>
  <si>
    <t>Trefferquote</t>
  </si>
  <si>
    <t>Spielerleistung mindestens X Hits</t>
  </si>
  <si>
    <t>Rugby League</t>
  </si>
  <si>
    <t>Rumänien 1</t>
  </si>
  <si>
    <t>Türkei 2</t>
  </si>
  <si>
    <t>Spielerleistung Touchdown</t>
  </si>
  <si>
    <t>Bosnien 1</t>
  </si>
  <si>
    <t xml:space="preserve">Italien 1 </t>
  </si>
  <si>
    <t>DE002</t>
  </si>
  <si>
    <t>DE002 All Time-Trefferquoten</t>
  </si>
  <si>
    <t>DE002 Saison-Trefferquoten</t>
  </si>
  <si>
    <t>DE002 Strategie</t>
  </si>
  <si>
    <t>2 x Unentschieden-Tipps (nach Strategie)</t>
  </si>
  <si>
    <t>Halbzeit-Tipp aus den 1. Ligen der Top 5 Europas</t>
  </si>
  <si>
    <t>freier Tipp</t>
  </si>
  <si>
    <t>Stand: 22.04.2025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</si>
</sst>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5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4" borderId="1" xfId="0" applyFill="1" applyBorder="1"/>
    <xf numFmtId="0" fontId="0" fillId="0" borderId="1" xfId="0" applyBorder="1"/>
    <xf numFmtId="0" fontId="0" fillId="5" borderId="0" xfId="0" applyFill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Border="1"/>
    <xf numFmtId="0" fontId="0" fillId="4" borderId="0" xfId="0" applyFill="1" applyBorder="1"/>
    <xf numFmtId="9" fontId="0" fillId="0" borderId="0" xfId="0" applyNumberFormat="1" applyBorder="1"/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8ECAE6B-B396-4670-9A8B-73B1ED84A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95" totalsRowShown="0">
  <autoFilter ref="A11:G95" xr:uid="{C312ECBC-370A-48F5-9745-177D5CBECA62}"/>
  <sortState xmlns:xlrd2="http://schemas.microsoft.com/office/spreadsheetml/2017/richdata2" ref="A12:G95">
    <sortCondition ref="C11:C95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67" totalsRowShown="0">
  <autoFilter ref="A11:G67" xr:uid="{C312ECBC-370A-48F5-9745-177D5CBECA62}"/>
  <sortState xmlns:xlrd2="http://schemas.microsoft.com/office/spreadsheetml/2017/richdata2" ref="A12:G67">
    <sortCondition ref="C11:C67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285D93-BC7E-40F2-A374-2A2ABDD1F4E8}" name="Tabelle1072" displayName="Tabelle1072" ref="A11:E14" totalsRowShown="0">
  <autoFilter ref="A11:E14" xr:uid="{C312ECBC-370A-48F5-9745-177D5CBECA62}"/>
  <tableColumns count="5">
    <tableColumn id="1" xr3:uid="{F9327521-818B-4103-BBEA-33A2B4FAA91F}" name="Mitarbeiter"/>
    <tableColumn id="4" xr3:uid="{C338545E-17C8-4FC2-A6F8-C96586C60B87}" name="Tipp" dataDxfId="1"/>
    <tableColumn id="5" xr3:uid="{FB0DF06E-48C0-4B19-9D48-4A06B018C6D0}" name="Abgegebene Tipps"/>
    <tableColumn id="6" xr3:uid="{6CA9CECD-E07F-48C8-A491-0835F0815CAC}" name="Getroffene Tipps"/>
    <tableColumn id="7" xr3:uid="{2CB2DA3D-7504-44D1-9803-27F103EEBDF9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95"/>
  <sheetViews>
    <sheetView showGridLines="0" tabSelected="1" zoomScaleNormal="100" workbookViewId="0">
      <pane ySplit="11" topLeftCell="A12" activePane="bottomLeft" state="frozen"/>
      <selection pane="bottomLeft" activeCell="B15" sqref="B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0" t="s">
        <v>85</v>
      </c>
      <c r="B1" s="10"/>
      <c r="C1" s="10"/>
      <c r="D1" s="10"/>
      <c r="E1" s="10"/>
      <c r="F1" s="10"/>
      <c r="G1" s="10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0"/>
      <c r="B2" s="10"/>
      <c r="C2" s="10"/>
      <c r="D2" s="10"/>
      <c r="E2" s="10"/>
      <c r="F2" s="10"/>
      <c r="G2" s="10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0"/>
      <c r="B3" s="10"/>
      <c r="C3" s="10"/>
      <c r="D3" s="10"/>
      <c r="E3" s="10"/>
      <c r="F3" s="10"/>
      <c r="G3" s="10"/>
      <c r="H3" s="2"/>
      <c r="I3" s="2"/>
      <c r="J3" s="11"/>
      <c r="K3" s="11"/>
      <c r="L3" s="11"/>
      <c r="M3" s="11"/>
      <c r="N3" s="11"/>
      <c r="O3" s="11"/>
      <c r="P3" s="2"/>
      <c r="Q3" s="2"/>
      <c r="R3" s="2"/>
      <c r="S3" s="2"/>
      <c r="T3" s="2"/>
    </row>
    <row r="4" spans="1:20" ht="14.45" customHeight="1" x14ac:dyDescent="0.25">
      <c r="A4" s="10"/>
      <c r="B4" s="10"/>
      <c r="C4" s="10"/>
      <c r="D4" s="10"/>
      <c r="E4" s="10"/>
      <c r="F4" s="10"/>
      <c r="G4" s="10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0"/>
      <c r="B5" s="10"/>
      <c r="C5" s="10"/>
      <c r="D5" s="10"/>
      <c r="E5" s="10"/>
      <c r="F5" s="10"/>
      <c r="G5" s="10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0"/>
      <c r="B6" s="10"/>
      <c r="C6" s="10"/>
      <c r="D6" s="10"/>
      <c r="E6" s="10"/>
      <c r="F6" s="10"/>
      <c r="G6" s="10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0"/>
      <c r="B7" s="10"/>
      <c r="C7" s="10"/>
      <c r="D7" s="10"/>
      <c r="E7" s="10"/>
      <c r="F7" s="10"/>
      <c r="G7" s="10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t="s">
        <v>58</v>
      </c>
      <c r="D12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84</v>
      </c>
      <c r="B13" t="s">
        <v>4</v>
      </c>
      <c r="C13" t="s">
        <v>26</v>
      </c>
      <c r="D13" t="s">
        <v>5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84</v>
      </c>
      <c r="B14" t="s">
        <v>4</v>
      </c>
      <c r="C14" t="s">
        <v>30</v>
      </c>
      <c r="D14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84</v>
      </c>
      <c r="B15" t="s">
        <v>4</v>
      </c>
      <c r="C15" t="s">
        <v>30</v>
      </c>
      <c r="D15" t="s">
        <v>28</v>
      </c>
      <c r="E15">
        <v>3</v>
      </c>
      <c r="F15">
        <v>0</v>
      </c>
      <c r="G15" s="6">
        <f>ROUND(F15/E15,2)</f>
        <v>0</v>
      </c>
    </row>
    <row r="16" spans="1:20" x14ac:dyDescent="0.25">
      <c r="A16" t="s">
        <v>84</v>
      </c>
      <c r="B16" t="s">
        <v>12</v>
      </c>
      <c r="C16" t="s">
        <v>52</v>
      </c>
      <c r="D16" t="s">
        <v>28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84</v>
      </c>
      <c r="B17" t="s">
        <v>4</v>
      </c>
      <c r="C17" t="s">
        <v>65</v>
      </c>
      <c r="D17" s="5" t="s">
        <v>5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84</v>
      </c>
      <c r="B18" t="s">
        <v>12</v>
      </c>
      <c r="C18" t="s">
        <v>15</v>
      </c>
      <c r="D18" t="s">
        <v>28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84</v>
      </c>
      <c r="B19" t="s">
        <v>4</v>
      </c>
      <c r="C19" t="s">
        <v>82</v>
      </c>
      <c r="D19" s="5" t="s">
        <v>5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84</v>
      </c>
      <c r="B20" t="s">
        <v>4</v>
      </c>
      <c r="C20" t="s">
        <v>23</v>
      </c>
      <c r="D20" t="s">
        <v>5</v>
      </c>
      <c r="E20">
        <v>2</v>
      </c>
      <c r="F20">
        <v>1</v>
      </c>
      <c r="G20" s="6">
        <f>ROUND(F20/E20,2)</f>
        <v>0.5</v>
      </c>
    </row>
    <row r="21" spans="1:7" x14ac:dyDescent="0.25">
      <c r="A21" t="s">
        <v>84</v>
      </c>
      <c r="B21" t="s">
        <v>4</v>
      </c>
      <c r="C21" t="s">
        <v>29</v>
      </c>
      <c r="D21" s="5" t="s">
        <v>5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84</v>
      </c>
      <c r="B22" t="s">
        <v>4</v>
      </c>
      <c r="C22" t="s">
        <v>25</v>
      </c>
      <c r="D22" t="s">
        <v>5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84</v>
      </c>
      <c r="B23" t="s">
        <v>4</v>
      </c>
      <c r="C23" t="s">
        <v>37</v>
      </c>
      <c r="D23" t="s">
        <v>5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84</v>
      </c>
      <c r="B24" t="s">
        <v>4</v>
      </c>
      <c r="C24" t="s">
        <v>49</v>
      </c>
      <c r="D24" t="s">
        <v>5</v>
      </c>
      <c r="E24">
        <v>3</v>
      </c>
      <c r="F24">
        <v>0</v>
      </c>
      <c r="G24" s="6">
        <f>ROUND(F24/E24,2)</f>
        <v>0</v>
      </c>
    </row>
    <row r="25" spans="1:7" x14ac:dyDescent="0.25">
      <c r="A25" t="s">
        <v>84</v>
      </c>
      <c r="B25" t="s">
        <v>4</v>
      </c>
      <c r="C25" t="s">
        <v>54</v>
      </c>
      <c r="D25" t="s">
        <v>5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84</v>
      </c>
      <c r="B26" t="s">
        <v>4</v>
      </c>
      <c r="C26" t="s">
        <v>69</v>
      </c>
      <c r="D26" s="5" t="s">
        <v>5</v>
      </c>
      <c r="E26">
        <v>8</v>
      </c>
      <c r="F26">
        <v>5</v>
      </c>
      <c r="G26" s="6">
        <f>ROUND(F26/E26,2)</f>
        <v>0.63</v>
      </c>
    </row>
    <row r="27" spans="1:7" x14ac:dyDescent="0.25">
      <c r="A27" t="s">
        <v>84</v>
      </c>
      <c r="B27" t="s">
        <v>13</v>
      </c>
      <c r="C27" t="s">
        <v>68</v>
      </c>
      <c r="D27" s="5" t="s">
        <v>28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84</v>
      </c>
      <c r="B28" t="s">
        <v>4</v>
      </c>
      <c r="C28" t="s">
        <v>18</v>
      </c>
      <c r="D28" t="s">
        <v>5</v>
      </c>
      <c r="E28">
        <v>24</v>
      </c>
      <c r="F28">
        <v>7</v>
      </c>
      <c r="G28" s="6">
        <f>ROUND(F28/E28,2)</f>
        <v>0.28999999999999998</v>
      </c>
    </row>
    <row r="29" spans="1:7" x14ac:dyDescent="0.25">
      <c r="A29" t="s">
        <v>84</v>
      </c>
      <c r="B29" t="s">
        <v>4</v>
      </c>
      <c r="C29" t="s">
        <v>18</v>
      </c>
      <c r="D29" t="s">
        <v>28</v>
      </c>
      <c r="E29">
        <v>16</v>
      </c>
      <c r="F29">
        <v>5</v>
      </c>
      <c r="G29" s="6">
        <f>ROUND(F29/E29,2)</f>
        <v>0.31</v>
      </c>
    </row>
    <row r="30" spans="1:7" x14ac:dyDescent="0.25">
      <c r="A30" t="s">
        <v>84</v>
      </c>
      <c r="B30" t="s">
        <v>4</v>
      </c>
      <c r="C30" t="s">
        <v>18</v>
      </c>
      <c r="D30" t="s">
        <v>41</v>
      </c>
      <c r="E30">
        <v>6</v>
      </c>
      <c r="F30">
        <v>4</v>
      </c>
      <c r="G30" s="6">
        <f>ROUND(F30/E30,2)</f>
        <v>0.67</v>
      </c>
    </row>
    <row r="31" spans="1:7" x14ac:dyDescent="0.25">
      <c r="A31" t="s">
        <v>84</v>
      </c>
      <c r="B31" t="s">
        <v>4</v>
      </c>
      <c r="C31" t="s">
        <v>18</v>
      </c>
      <c r="D31" t="s">
        <v>38</v>
      </c>
      <c r="E31">
        <v>6</v>
      </c>
      <c r="F31">
        <v>3</v>
      </c>
      <c r="G31" s="6">
        <f>ROUND(F31/E31,2)</f>
        <v>0.5</v>
      </c>
    </row>
    <row r="32" spans="1:7" x14ac:dyDescent="0.25">
      <c r="A32" t="s">
        <v>84</v>
      </c>
      <c r="B32" t="s">
        <v>4</v>
      </c>
      <c r="C32" t="s">
        <v>18</v>
      </c>
      <c r="D32" s="5" t="s">
        <v>10</v>
      </c>
      <c r="E32">
        <v>2</v>
      </c>
      <c r="F32">
        <v>1</v>
      </c>
      <c r="G32" s="6">
        <f>ROUND(F32/E32,2)</f>
        <v>0.5</v>
      </c>
    </row>
    <row r="33" spans="1:7" x14ac:dyDescent="0.25">
      <c r="A33" t="s">
        <v>84</v>
      </c>
      <c r="B33" t="s">
        <v>4</v>
      </c>
      <c r="C33" t="s">
        <v>18</v>
      </c>
      <c r="D33" s="5" t="s">
        <v>70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84</v>
      </c>
      <c r="B34" t="s">
        <v>4</v>
      </c>
      <c r="C34" t="s">
        <v>7</v>
      </c>
      <c r="D34" t="s">
        <v>28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84</v>
      </c>
      <c r="B35" t="s">
        <v>4</v>
      </c>
      <c r="C35" t="s">
        <v>7</v>
      </c>
      <c r="D35" t="s">
        <v>5</v>
      </c>
      <c r="E35">
        <v>4</v>
      </c>
      <c r="F35">
        <v>2</v>
      </c>
      <c r="G35" s="6">
        <f>ROUND(F35/E35,2)</f>
        <v>0.5</v>
      </c>
    </row>
    <row r="36" spans="1:7" x14ac:dyDescent="0.25">
      <c r="A36" t="s">
        <v>84</v>
      </c>
      <c r="B36" t="s">
        <v>4</v>
      </c>
      <c r="C36" t="s">
        <v>7</v>
      </c>
      <c r="D36" s="5" t="s">
        <v>41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84</v>
      </c>
      <c r="B37" t="s">
        <v>4</v>
      </c>
      <c r="C37" t="s">
        <v>6</v>
      </c>
      <c r="D37" t="s">
        <v>5</v>
      </c>
      <c r="E37">
        <v>4</v>
      </c>
      <c r="F37">
        <v>2</v>
      </c>
      <c r="G37" s="6">
        <f>ROUND(F37/E37,2)</f>
        <v>0.5</v>
      </c>
    </row>
    <row r="38" spans="1:7" x14ac:dyDescent="0.25">
      <c r="A38" t="s">
        <v>84</v>
      </c>
      <c r="B38" t="s">
        <v>4</v>
      </c>
      <c r="C38" t="s">
        <v>17</v>
      </c>
      <c r="D38" t="s">
        <v>5</v>
      </c>
      <c r="E38">
        <v>5</v>
      </c>
      <c r="F38">
        <v>2</v>
      </c>
      <c r="G38" s="6">
        <f>ROUND(F38/E38,2)</f>
        <v>0.4</v>
      </c>
    </row>
    <row r="39" spans="1:7" x14ac:dyDescent="0.25">
      <c r="A39" t="s">
        <v>84</v>
      </c>
      <c r="B39" t="s">
        <v>4</v>
      </c>
      <c r="C39" t="s">
        <v>17</v>
      </c>
      <c r="D39" t="s">
        <v>28</v>
      </c>
      <c r="E39">
        <v>3</v>
      </c>
      <c r="F39">
        <v>1</v>
      </c>
      <c r="G39" s="6">
        <f>ROUND(F39/E39,2)</f>
        <v>0.33</v>
      </c>
    </row>
    <row r="40" spans="1:7" x14ac:dyDescent="0.25">
      <c r="A40" t="s">
        <v>84</v>
      </c>
      <c r="B40" t="s">
        <v>4</v>
      </c>
      <c r="C40" t="s">
        <v>17</v>
      </c>
      <c r="D40" t="s">
        <v>38</v>
      </c>
      <c r="E40">
        <v>3</v>
      </c>
      <c r="F40">
        <v>2</v>
      </c>
      <c r="G40" s="6">
        <f>ROUND(F40/E40,2)</f>
        <v>0.67</v>
      </c>
    </row>
    <row r="41" spans="1:7" x14ac:dyDescent="0.25">
      <c r="A41" t="s">
        <v>84</v>
      </c>
      <c r="B41" t="s">
        <v>4</v>
      </c>
      <c r="C41" t="s">
        <v>17</v>
      </c>
      <c r="D41" s="5" t="s">
        <v>70</v>
      </c>
      <c r="E41">
        <v>1</v>
      </c>
      <c r="F41">
        <v>1</v>
      </c>
      <c r="G41" s="6">
        <f>ROUND(F41/E41,2)</f>
        <v>1</v>
      </c>
    </row>
    <row r="42" spans="1:7" x14ac:dyDescent="0.25">
      <c r="A42" t="s">
        <v>84</v>
      </c>
      <c r="B42" t="s">
        <v>4</v>
      </c>
      <c r="C42" t="s">
        <v>67</v>
      </c>
      <c r="D42" s="5" t="s">
        <v>5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84</v>
      </c>
      <c r="B43" t="s">
        <v>31</v>
      </c>
      <c r="C43" t="s">
        <v>32</v>
      </c>
      <c r="D43" t="s">
        <v>5</v>
      </c>
      <c r="E43">
        <v>7</v>
      </c>
      <c r="F43">
        <v>1</v>
      </c>
      <c r="G43" s="6">
        <f>ROUND(F43/E43,2)</f>
        <v>0.14000000000000001</v>
      </c>
    </row>
    <row r="44" spans="1:7" x14ac:dyDescent="0.25">
      <c r="A44" t="s">
        <v>84</v>
      </c>
      <c r="B44" t="s">
        <v>4</v>
      </c>
      <c r="C44" t="s">
        <v>50</v>
      </c>
      <c r="D44" t="s">
        <v>5</v>
      </c>
      <c r="E44">
        <v>5</v>
      </c>
      <c r="F44">
        <v>2</v>
      </c>
      <c r="G44" s="6">
        <f>ROUND(F44/E44,2)</f>
        <v>0.4</v>
      </c>
    </row>
    <row r="45" spans="1:7" x14ac:dyDescent="0.25">
      <c r="A45" t="s">
        <v>84</v>
      </c>
      <c r="B45" t="s">
        <v>11</v>
      </c>
      <c r="C45" t="s">
        <v>43</v>
      </c>
      <c r="D45" t="s">
        <v>28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84</v>
      </c>
      <c r="B46" t="s">
        <v>12</v>
      </c>
      <c r="C46" t="s">
        <v>57</v>
      </c>
      <c r="D46" t="s">
        <v>28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84</v>
      </c>
      <c r="B47" t="s">
        <v>4</v>
      </c>
      <c r="C47" t="s">
        <v>20</v>
      </c>
      <c r="D47" t="s">
        <v>5</v>
      </c>
      <c r="E47">
        <v>73</v>
      </c>
      <c r="F47">
        <v>27</v>
      </c>
      <c r="G47" s="6">
        <f>ROUND(F47/E47,2)</f>
        <v>0.37</v>
      </c>
    </row>
    <row r="48" spans="1:7" x14ac:dyDescent="0.25">
      <c r="A48" t="s">
        <v>84</v>
      </c>
      <c r="B48" t="s">
        <v>4</v>
      </c>
      <c r="C48" t="s">
        <v>20</v>
      </c>
      <c r="D48" t="s">
        <v>28</v>
      </c>
      <c r="E48">
        <v>5</v>
      </c>
      <c r="F48">
        <v>1</v>
      </c>
      <c r="G48" s="6">
        <f>ROUND(F48/E48,2)</f>
        <v>0.2</v>
      </c>
    </row>
    <row r="49" spans="1:7" x14ac:dyDescent="0.25">
      <c r="A49" t="s">
        <v>84</v>
      </c>
      <c r="B49" t="s">
        <v>4</v>
      </c>
      <c r="C49" t="s">
        <v>20</v>
      </c>
      <c r="D49" t="s">
        <v>41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84</v>
      </c>
      <c r="B50" t="s">
        <v>4</v>
      </c>
      <c r="C50" t="s">
        <v>20</v>
      </c>
      <c r="D50" t="s">
        <v>38</v>
      </c>
      <c r="E50">
        <v>3</v>
      </c>
      <c r="F50">
        <v>0</v>
      </c>
      <c r="G50" s="6">
        <f>ROUND(F50/E50,2)</f>
        <v>0</v>
      </c>
    </row>
    <row r="51" spans="1:7" x14ac:dyDescent="0.25">
      <c r="A51" t="s">
        <v>84</v>
      </c>
      <c r="B51" t="s">
        <v>4</v>
      </c>
      <c r="C51" t="s">
        <v>20</v>
      </c>
      <c r="D51" s="5" t="s">
        <v>10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84</v>
      </c>
      <c r="B52" t="s">
        <v>4</v>
      </c>
      <c r="C52" t="s">
        <v>83</v>
      </c>
      <c r="D52" s="5" t="s">
        <v>59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84</v>
      </c>
      <c r="B53" t="s">
        <v>4</v>
      </c>
      <c r="C53" t="s">
        <v>34</v>
      </c>
      <c r="D53" s="5" t="s">
        <v>5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84</v>
      </c>
      <c r="B54" t="s">
        <v>4</v>
      </c>
      <c r="C54" t="s">
        <v>71</v>
      </c>
      <c r="D54" t="s">
        <v>5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84</v>
      </c>
      <c r="B55" t="s">
        <v>4</v>
      </c>
      <c r="C55" t="s">
        <v>22</v>
      </c>
      <c r="D55" t="s">
        <v>5</v>
      </c>
      <c r="E55">
        <v>9</v>
      </c>
      <c r="F55">
        <v>1</v>
      </c>
      <c r="G55" s="6">
        <f>ROUND(F55/E55,2)</f>
        <v>0.11</v>
      </c>
    </row>
    <row r="56" spans="1:7" x14ac:dyDescent="0.25">
      <c r="A56" t="s">
        <v>84</v>
      </c>
      <c r="B56" t="s">
        <v>4</v>
      </c>
      <c r="C56" t="s">
        <v>22</v>
      </c>
      <c r="D56" t="s">
        <v>28</v>
      </c>
      <c r="E56">
        <v>8</v>
      </c>
      <c r="F56">
        <v>3</v>
      </c>
      <c r="G56" s="6">
        <f>ROUND(F56/E56,2)</f>
        <v>0.38</v>
      </c>
    </row>
    <row r="57" spans="1:7" x14ac:dyDescent="0.25">
      <c r="A57" t="s">
        <v>84</v>
      </c>
      <c r="B57" t="s">
        <v>4</v>
      </c>
      <c r="C57" t="s">
        <v>22</v>
      </c>
      <c r="D57" t="s">
        <v>38</v>
      </c>
      <c r="E57">
        <v>2</v>
      </c>
      <c r="F57">
        <v>0</v>
      </c>
      <c r="G57" s="6">
        <f>ROUND(F57/E57,2)</f>
        <v>0</v>
      </c>
    </row>
    <row r="58" spans="1:7" x14ac:dyDescent="0.25">
      <c r="A58" t="s">
        <v>84</v>
      </c>
      <c r="B58" t="s">
        <v>4</v>
      </c>
      <c r="C58" t="s">
        <v>22</v>
      </c>
      <c r="D58" t="s">
        <v>59</v>
      </c>
      <c r="E58">
        <v>2</v>
      </c>
      <c r="F58">
        <v>0</v>
      </c>
      <c r="G58" s="6">
        <f>ROUND(F58/E58,2)</f>
        <v>0</v>
      </c>
    </row>
    <row r="59" spans="1:7" x14ac:dyDescent="0.25">
      <c r="A59" t="s">
        <v>84</v>
      </c>
      <c r="B59" t="s">
        <v>4</v>
      </c>
      <c r="C59" t="s">
        <v>22</v>
      </c>
      <c r="D59" t="s">
        <v>10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84</v>
      </c>
      <c r="B60" t="s">
        <v>4</v>
      </c>
      <c r="C60" t="s">
        <v>22</v>
      </c>
      <c r="D60" t="s">
        <v>61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84</v>
      </c>
      <c r="B61" t="s">
        <v>4</v>
      </c>
      <c r="C61" t="s">
        <v>22</v>
      </c>
      <c r="D61" s="5" t="s">
        <v>41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84</v>
      </c>
      <c r="B62" t="s">
        <v>4</v>
      </c>
      <c r="C62" t="s">
        <v>22</v>
      </c>
      <c r="D62" s="5" t="s">
        <v>70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84</v>
      </c>
      <c r="B63" t="s">
        <v>12</v>
      </c>
      <c r="C63" t="s">
        <v>42</v>
      </c>
      <c r="D63" t="s">
        <v>28</v>
      </c>
      <c r="E63">
        <v>1</v>
      </c>
      <c r="F63">
        <v>1</v>
      </c>
      <c r="G63" s="6">
        <f>ROUND(F63/E63,2)</f>
        <v>1</v>
      </c>
    </row>
    <row r="64" spans="1:7" x14ac:dyDescent="0.25">
      <c r="A64" t="s">
        <v>84</v>
      </c>
      <c r="B64" t="s">
        <v>4</v>
      </c>
      <c r="C64" t="s">
        <v>24</v>
      </c>
      <c r="D64" t="s">
        <v>51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84</v>
      </c>
      <c r="B65" t="s">
        <v>14</v>
      </c>
      <c r="C65" t="s">
        <v>53</v>
      </c>
      <c r="D65" t="s">
        <v>28</v>
      </c>
      <c r="E65">
        <v>2</v>
      </c>
      <c r="F65">
        <v>1</v>
      </c>
      <c r="G65" s="6">
        <f>ROUND(F65/E65,2)</f>
        <v>0.5</v>
      </c>
    </row>
    <row r="66" spans="1:7" x14ac:dyDescent="0.25">
      <c r="A66" t="s">
        <v>84</v>
      </c>
      <c r="B66" t="s">
        <v>14</v>
      </c>
      <c r="C66" t="s">
        <v>53</v>
      </c>
      <c r="D66" t="s">
        <v>55</v>
      </c>
      <c r="E66">
        <v>1</v>
      </c>
      <c r="F66">
        <v>1</v>
      </c>
      <c r="G66" s="6">
        <f>ROUND(F66/E66,2)</f>
        <v>1</v>
      </c>
    </row>
    <row r="67" spans="1:7" x14ac:dyDescent="0.25">
      <c r="A67" t="s">
        <v>84</v>
      </c>
      <c r="B67" t="s">
        <v>14</v>
      </c>
      <c r="C67" t="s">
        <v>53</v>
      </c>
      <c r="D67" t="s">
        <v>77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84</v>
      </c>
      <c r="B68" t="s">
        <v>12</v>
      </c>
      <c r="C68" t="s">
        <v>35</v>
      </c>
      <c r="D68" t="s">
        <v>56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84</v>
      </c>
      <c r="B69" t="s">
        <v>44</v>
      </c>
      <c r="C69" t="s">
        <v>45</v>
      </c>
      <c r="D69" t="s">
        <v>28</v>
      </c>
      <c r="E69">
        <v>9</v>
      </c>
      <c r="F69">
        <v>4</v>
      </c>
      <c r="G69" s="6">
        <f>ROUND(F69/E69,2)</f>
        <v>0.44</v>
      </c>
    </row>
    <row r="70" spans="1:7" x14ac:dyDescent="0.25">
      <c r="A70" t="s">
        <v>84</v>
      </c>
      <c r="B70" t="s">
        <v>44</v>
      </c>
      <c r="C70" t="s">
        <v>45</v>
      </c>
      <c r="D70" s="5" t="s">
        <v>81</v>
      </c>
      <c r="E70">
        <v>3</v>
      </c>
      <c r="F70">
        <v>1</v>
      </c>
      <c r="G70" s="6">
        <f>ROUND(F70/E70,2)</f>
        <v>0.33</v>
      </c>
    </row>
    <row r="71" spans="1:7" x14ac:dyDescent="0.25">
      <c r="A71" t="s">
        <v>84</v>
      </c>
      <c r="B71" t="s">
        <v>4</v>
      </c>
      <c r="C71" t="s">
        <v>36</v>
      </c>
      <c r="D71" t="s">
        <v>5</v>
      </c>
      <c r="E71">
        <v>11</v>
      </c>
      <c r="F71">
        <v>3</v>
      </c>
      <c r="G71" s="6">
        <f>ROUND(F71/E71,2)</f>
        <v>0.27</v>
      </c>
    </row>
    <row r="72" spans="1:7" x14ac:dyDescent="0.25">
      <c r="A72" t="s">
        <v>84</v>
      </c>
      <c r="B72" t="s">
        <v>4</v>
      </c>
      <c r="C72" t="s">
        <v>63</v>
      </c>
      <c r="D72" s="5" t="s">
        <v>5</v>
      </c>
      <c r="E72">
        <v>2</v>
      </c>
      <c r="F72">
        <v>1</v>
      </c>
      <c r="G72" s="6">
        <f>ROUND(F72/E72,2)</f>
        <v>0.5</v>
      </c>
    </row>
    <row r="73" spans="1:7" x14ac:dyDescent="0.25">
      <c r="A73" t="s">
        <v>84</v>
      </c>
      <c r="B73" t="s">
        <v>47</v>
      </c>
      <c r="C73" t="s">
        <v>48</v>
      </c>
      <c r="D73" t="s">
        <v>28</v>
      </c>
      <c r="E73">
        <v>3</v>
      </c>
      <c r="F73">
        <v>1</v>
      </c>
      <c r="G73" s="6">
        <f>ROUND(F73/E73,2)</f>
        <v>0.33</v>
      </c>
    </row>
    <row r="74" spans="1:7" x14ac:dyDescent="0.25">
      <c r="A74" t="s">
        <v>84</v>
      </c>
      <c r="B74" t="s">
        <v>4</v>
      </c>
      <c r="C74" t="s">
        <v>66</v>
      </c>
      <c r="D74" s="5" t="s">
        <v>5</v>
      </c>
      <c r="E74">
        <v>2</v>
      </c>
      <c r="F74">
        <v>0</v>
      </c>
      <c r="G74" s="6">
        <f>ROUND(F74/E74,2)</f>
        <v>0</v>
      </c>
    </row>
    <row r="75" spans="1:7" x14ac:dyDescent="0.25">
      <c r="A75" t="s">
        <v>84</v>
      </c>
      <c r="B75" t="s">
        <v>4</v>
      </c>
      <c r="C75" t="s">
        <v>46</v>
      </c>
      <c r="D75" t="s">
        <v>5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84</v>
      </c>
      <c r="B76" t="s">
        <v>4</v>
      </c>
      <c r="C76" t="s">
        <v>33</v>
      </c>
      <c r="D76" t="s">
        <v>5</v>
      </c>
      <c r="E76">
        <v>6</v>
      </c>
      <c r="F76">
        <v>1</v>
      </c>
      <c r="G76" s="6">
        <f>ROUND(F76/E76,2)</f>
        <v>0.17</v>
      </c>
    </row>
    <row r="77" spans="1:7" x14ac:dyDescent="0.25">
      <c r="A77" t="s">
        <v>84</v>
      </c>
      <c r="B77" t="s">
        <v>47</v>
      </c>
      <c r="C77" t="s">
        <v>78</v>
      </c>
      <c r="D77" s="5" t="s">
        <v>28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84</v>
      </c>
      <c r="B78" t="s">
        <v>4</v>
      </c>
      <c r="C78" t="s">
        <v>79</v>
      </c>
      <c r="D78" s="5" t="s">
        <v>5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84</v>
      </c>
      <c r="B79" t="s">
        <v>13</v>
      </c>
      <c r="C79" t="s">
        <v>9</v>
      </c>
      <c r="D79" t="s">
        <v>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84</v>
      </c>
      <c r="B80" t="s">
        <v>4</v>
      </c>
      <c r="C80" t="s">
        <v>62</v>
      </c>
      <c r="D80" t="s">
        <v>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84</v>
      </c>
      <c r="B81" t="s">
        <v>4</v>
      </c>
      <c r="C81" t="s">
        <v>64</v>
      </c>
      <c r="D81" s="5" t="s">
        <v>5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84</v>
      </c>
      <c r="B82" t="s">
        <v>4</v>
      </c>
      <c r="C82" t="s">
        <v>16</v>
      </c>
      <c r="D82" t="s">
        <v>5</v>
      </c>
      <c r="E82">
        <v>12</v>
      </c>
      <c r="F82">
        <v>6</v>
      </c>
      <c r="G82" s="6">
        <f>ROUND(F82/E82,2)</f>
        <v>0.5</v>
      </c>
    </row>
    <row r="83" spans="1:7" x14ac:dyDescent="0.25">
      <c r="A83" t="s">
        <v>84</v>
      </c>
      <c r="B83" t="s">
        <v>4</v>
      </c>
      <c r="C83" t="s">
        <v>16</v>
      </c>
      <c r="D83" s="5" t="s">
        <v>59</v>
      </c>
      <c r="E83">
        <v>2</v>
      </c>
      <c r="F83">
        <v>1</v>
      </c>
      <c r="G83" s="6">
        <f>ROUND(F83/E83,2)</f>
        <v>0.5</v>
      </c>
    </row>
    <row r="84" spans="1:7" x14ac:dyDescent="0.25">
      <c r="A84" t="s">
        <v>84</v>
      </c>
      <c r="B84" t="s">
        <v>4</v>
      </c>
      <c r="C84" t="s">
        <v>16</v>
      </c>
      <c r="D84" s="5" t="s">
        <v>10</v>
      </c>
      <c r="E84">
        <v>2</v>
      </c>
      <c r="F84">
        <v>1</v>
      </c>
      <c r="G84" s="6">
        <f>ROUND(F84/E84,2)</f>
        <v>0.5</v>
      </c>
    </row>
    <row r="85" spans="1:7" x14ac:dyDescent="0.25">
      <c r="A85" t="s">
        <v>84</v>
      </c>
      <c r="B85" t="s">
        <v>4</v>
      </c>
      <c r="C85" t="s">
        <v>16</v>
      </c>
      <c r="D85" s="5" t="s">
        <v>38</v>
      </c>
      <c r="E85">
        <v>4</v>
      </c>
      <c r="F85">
        <v>0</v>
      </c>
      <c r="G85" s="6">
        <f>ROUND(F85/E85,2)</f>
        <v>0</v>
      </c>
    </row>
    <row r="86" spans="1:7" x14ac:dyDescent="0.25">
      <c r="A86" t="s">
        <v>84</v>
      </c>
      <c r="B86" t="s">
        <v>4</v>
      </c>
      <c r="C86" t="s">
        <v>16</v>
      </c>
      <c r="D86" s="5" t="s">
        <v>70</v>
      </c>
      <c r="E86">
        <v>1</v>
      </c>
      <c r="F86">
        <v>1</v>
      </c>
      <c r="G86" s="6">
        <f>ROUND(F86/E86,2)</f>
        <v>1</v>
      </c>
    </row>
    <row r="87" spans="1:7" x14ac:dyDescent="0.25">
      <c r="A87" t="s">
        <v>84</v>
      </c>
      <c r="B87" t="s">
        <v>4</v>
      </c>
      <c r="C87" t="s">
        <v>16</v>
      </c>
      <c r="D87" s="5" t="s">
        <v>41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84</v>
      </c>
      <c r="B88" t="s">
        <v>47</v>
      </c>
      <c r="C88" t="s">
        <v>60</v>
      </c>
      <c r="D88" t="s">
        <v>28</v>
      </c>
      <c r="E88">
        <v>2</v>
      </c>
      <c r="F88">
        <v>1</v>
      </c>
      <c r="G88" s="6">
        <f>ROUND(F88/E88,2)</f>
        <v>0.5</v>
      </c>
    </row>
    <row r="89" spans="1:7" x14ac:dyDescent="0.25">
      <c r="A89" t="s">
        <v>84</v>
      </c>
      <c r="B89" t="s">
        <v>13</v>
      </c>
      <c r="C89" t="s">
        <v>8</v>
      </c>
      <c r="D89" t="s">
        <v>5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84</v>
      </c>
      <c r="B90" t="s">
        <v>13</v>
      </c>
      <c r="C90" t="s">
        <v>8</v>
      </c>
      <c r="D90" t="s">
        <v>28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84</v>
      </c>
      <c r="B91" t="s">
        <v>4</v>
      </c>
      <c r="C91" t="s">
        <v>19</v>
      </c>
      <c r="D91" t="s">
        <v>5</v>
      </c>
      <c r="E91">
        <v>10</v>
      </c>
      <c r="F91">
        <v>4</v>
      </c>
      <c r="G91" s="6">
        <f>ROUND(F91/E91,2)</f>
        <v>0.4</v>
      </c>
    </row>
    <row r="92" spans="1:7" x14ac:dyDescent="0.25">
      <c r="A92" t="s">
        <v>84</v>
      </c>
      <c r="B92" t="s">
        <v>4</v>
      </c>
      <c r="C92" t="s">
        <v>80</v>
      </c>
      <c r="D92" s="5" t="s">
        <v>5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84</v>
      </c>
      <c r="B93" t="s">
        <v>12</v>
      </c>
      <c r="C93" t="s">
        <v>40</v>
      </c>
      <c r="D93" t="s">
        <v>39</v>
      </c>
      <c r="E93">
        <v>1</v>
      </c>
      <c r="F93">
        <v>0</v>
      </c>
      <c r="G93" s="6">
        <f>ROUND(F93/E93,2)</f>
        <v>0</v>
      </c>
    </row>
    <row r="94" spans="1:7" x14ac:dyDescent="0.25">
      <c r="A94" t="s">
        <v>84</v>
      </c>
      <c r="B94" t="s">
        <v>4</v>
      </c>
      <c r="C94" t="s">
        <v>21</v>
      </c>
      <c r="D94" t="s">
        <v>5</v>
      </c>
      <c r="E94">
        <v>3</v>
      </c>
      <c r="F94">
        <v>2</v>
      </c>
      <c r="G94" s="6">
        <f>ROUND(F94/E94,2)</f>
        <v>0.67</v>
      </c>
    </row>
    <row r="95" spans="1:7" x14ac:dyDescent="0.25">
      <c r="A95" t="s">
        <v>84</v>
      </c>
      <c r="B95" t="s">
        <v>12</v>
      </c>
      <c r="C95" t="s">
        <v>27</v>
      </c>
      <c r="D95" t="s">
        <v>28</v>
      </c>
      <c r="E95">
        <v>5</v>
      </c>
      <c r="F95">
        <v>2</v>
      </c>
      <c r="G95" s="6">
        <f>ROUND(F95/E95,2)</f>
        <v>0.4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1"/>
  <sheetViews>
    <sheetView showGridLines="0" zoomScaleNormal="100" workbookViewId="0">
      <pane ySplit="11" topLeftCell="A12" activePane="bottomLeft" state="frozen"/>
      <selection pane="bottomLeft" activeCell="B16" sqref="B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0" t="s">
        <v>86</v>
      </c>
      <c r="B1" s="10"/>
      <c r="C1" s="10"/>
      <c r="D1" s="10"/>
      <c r="E1" s="10"/>
      <c r="F1" s="10"/>
      <c r="G1" s="10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0"/>
      <c r="B2" s="10"/>
      <c r="C2" s="10"/>
      <c r="D2" s="10"/>
      <c r="E2" s="10"/>
      <c r="F2" s="10"/>
      <c r="G2" s="10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0"/>
      <c r="B3" s="10"/>
      <c r="C3" s="10"/>
      <c r="D3" s="10"/>
      <c r="E3" s="10"/>
      <c r="F3" s="10"/>
      <c r="G3" s="10"/>
      <c r="H3" s="2"/>
      <c r="I3" s="2"/>
      <c r="J3" s="11"/>
      <c r="K3" s="11"/>
      <c r="L3" s="11"/>
      <c r="M3" s="11"/>
      <c r="N3" s="11"/>
      <c r="O3" s="11"/>
      <c r="P3" s="2"/>
      <c r="Q3" s="2"/>
      <c r="R3" s="2"/>
      <c r="S3" s="2"/>
      <c r="T3" s="2"/>
    </row>
    <row r="4" spans="1:20" ht="14.45" customHeight="1" x14ac:dyDescent="0.25">
      <c r="A4" s="10"/>
      <c r="B4" s="10"/>
      <c r="C4" s="10"/>
      <c r="D4" s="10"/>
      <c r="E4" s="10"/>
      <c r="F4" s="10"/>
      <c r="G4" s="10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0"/>
      <c r="B5" s="10"/>
      <c r="C5" s="10"/>
      <c r="D5" s="10"/>
      <c r="E5" s="10"/>
      <c r="F5" s="10"/>
      <c r="G5" s="10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0"/>
      <c r="B6" s="10"/>
      <c r="C6" s="10"/>
      <c r="D6" s="10"/>
      <c r="E6" s="10"/>
      <c r="F6" s="10"/>
      <c r="G6" s="10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0"/>
      <c r="B7" s="10"/>
      <c r="C7" s="10"/>
      <c r="D7" s="10"/>
      <c r="E7" s="10"/>
      <c r="F7" s="10"/>
      <c r="G7" s="10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s="8" t="s">
        <v>26</v>
      </c>
      <c r="D12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84</v>
      </c>
      <c r="B13" s="8" t="s">
        <v>4</v>
      </c>
      <c r="C13" s="8" t="s">
        <v>65</v>
      </c>
      <c r="D13" s="8" t="s">
        <v>5</v>
      </c>
      <c r="E13">
        <v>2</v>
      </c>
      <c r="F13">
        <v>1</v>
      </c>
      <c r="G13" s="6">
        <f>ROUND(F13/E13,2)</f>
        <v>0.5</v>
      </c>
    </row>
    <row r="14" spans="1:20" x14ac:dyDescent="0.25">
      <c r="A14" t="s">
        <v>84</v>
      </c>
      <c r="B14" s="8" t="s">
        <v>4</v>
      </c>
      <c r="C14" s="8" t="s">
        <v>82</v>
      </c>
      <c r="D14" s="8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84</v>
      </c>
      <c r="B15" s="8" t="s">
        <v>4</v>
      </c>
      <c r="C15" s="8" t="s">
        <v>23</v>
      </c>
      <c r="D15" s="8" t="s">
        <v>5</v>
      </c>
      <c r="E15">
        <v>2</v>
      </c>
      <c r="F15">
        <v>1</v>
      </c>
      <c r="G15" s="6">
        <f>ROUND(F15/E15,2)</f>
        <v>0.5</v>
      </c>
    </row>
    <row r="16" spans="1:20" x14ac:dyDescent="0.25">
      <c r="A16" t="s">
        <v>84</v>
      </c>
      <c r="B16" s="7" t="s">
        <v>4</v>
      </c>
      <c r="C16" s="7" t="s">
        <v>29</v>
      </c>
      <c r="D16" s="7" t="s">
        <v>5</v>
      </c>
      <c r="E16">
        <v>1</v>
      </c>
      <c r="F16">
        <v>0</v>
      </c>
      <c r="G16" s="6">
        <f>ROUND(F16/E16,2)</f>
        <v>0</v>
      </c>
    </row>
    <row r="17" spans="1:11" x14ac:dyDescent="0.25">
      <c r="A17" t="s">
        <v>84</v>
      </c>
      <c r="B17" t="s">
        <v>4</v>
      </c>
      <c r="C17" t="s">
        <v>69</v>
      </c>
      <c r="D17" t="s">
        <v>5</v>
      </c>
      <c r="E17">
        <v>8</v>
      </c>
      <c r="F17">
        <v>5</v>
      </c>
      <c r="G17" s="6">
        <f>ROUND(F17/E17,2)</f>
        <v>0.63</v>
      </c>
      <c r="K17" s="5"/>
    </row>
    <row r="18" spans="1:11" x14ac:dyDescent="0.25">
      <c r="A18" t="s">
        <v>84</v>
      </c>
      <c r="B18" t="s">
        <v>13</v>
      </c>
      <c r="C18" t="s">
        <v>68</v>
      </c>
      <c r="D18" s="5" t="s">
        <v>28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84</v>
      </c>
      <c r="B19" s="9" t="s">
        <v>4</v>
      </c>
      <c r="C19" s="9" t="s">
        <v>18</v>
      </c>
      <c r="D19" s="9" t="s">
        <v>41</v>
      </c>
      <c r="E19">
        <v>5</v>
      </c>
      <c r="F19">
        <v>3</v>
      </c>
      <c r="G19" s="6">
        <f>ROUND(F19/E19,2)</f>
        <v>0.6</v>
      </c>
      <c r="K19" s="5"/>
    </row>
    <row r="20" spans="1:11" x14ac:dyDescent="0.25">
      <c r="A20" t="s">
        <v>84</v>
      </c>
      <c r="B20" t="s">
        <v>4</v>
      </c>
      <c r="C20" t="s">
        <v>18</v>
      </c>
      <c r="D20" s="5" t="s">
        <v>10</v>
      </c>
      <c r="E20">
        <v>2</v>
      </c>
      <c r="F20">
        <v>1</v>
      </c>
      <c r="G20" s="6">
        <f>ROUND(F20/E20,2)</f>
        <v>0.5</v>
      </c>
      <c r="K20" s="5"/>
    </row>
    <row r="21" spans="1:11" x14ac:dyDescent="0.25">
      <c r="A21" t="s">
        <v>84</v>
      </c>
      <c r="B21" t="s">
        <v>4</v>
      </c>
      <c r="C21" t="s">
        <v>18</v>
      </c>
      <c r="D21" s="5" t="s">
        <v>70</v>
      </c>
      <c r="E21">
        <v>1</v>
      </c>
      <c r="F21">
        <v>0</v>
      </c>
      <c r="G21" s="6">
        <f>ROUND(F21/E21,2)</f>
        <v>0</v>
      </c>
      <c r="K21" s="5"/>
    </row>
    <row r="22" spans="1:11" x14ac:dyDescent="0.25">
      <c r="A22" t="s">
        <v>84</v>
      </c>
      <c r="B22" t="s">
        <v>4</v>
      </c>
      <c r="C22" t="s">
        <v>18</v>
      </c>
      <c r="D22" s="5" t="s">
        <v>38</v>
      </c>
      <c r="E22">
        <v>3</v>
      </c>
      <c r="F22">
        <v>1</v>
      </c>
      <c r="G22" s="6">
        <f>ROUND(F22/E22,2)</f>
        <v>0.33</v>
      </c>
    </row>
    <row r="23" spans="1:11" x14ac:dyDescent="0.25">
      <c r="A23" t="s">
        <v>84</v>
      </c>
      <c r="B23" t="s">
        <v>4</v>
      </c>
      <c r="C23" t="s">
        <v>18</v>
      </c>
      <c r="D23" s="5" t="s">
        <v>5</v>
      </c>
      <c r="E23">
        <v>13</v>
      </c>
      <c r="F23">
        <v>3</v>
      </c>
      <c r="G23" s="6">
        <f>ROUND(F23/E23,2)</f>
        <v>0.23</v>
      </c>
      <c r="K23" s="5"/>
    </row>
    <row r="24" spans="1:11" x14ac:dyDescent="0.25">
      <c r="A24" t="s">
        <v>84</v>
      </c>
      <c r="B24" t="s">
        <v>4</v>
      </c>
      <c r="C24" t="s">
        <v>18</v>
      </c>
      <c r="D24" s="5" t="s">
        <v>28</v>
      </c>
      <c r="E24">
        <v>6</v>
      </c>
      <c r="F24">
        <v>1</v>
      </c>
      <c r="G24" s="6">
        <f>ROUND(F24/E24,2)</f>
        <v>0.17</v>
      </c>
      <c r="K24" s="5"/>
    </row>
    <row r="25" spans="1:11" x14ac:dyDescent="0.25">
      <c r="A25" t="s">
        <v>84</v>
      </c>
      <c r="B25" t="s">
        <v>4</v>
      </c>
      <c r="C25" t="s">
        <v>7</v>
      </c>
      <c r="D25" s="5" t="s">
        <v>28</v>
      </c>
      <c r="E25">
        <v>1</v>
      </c>
      <c r="F25">
        <v>0</v>
      </c>
      <c r="G25" s="6">
        <f>ROUND(F25/E25,2)</f>
        <v>0</v>
      </c>
      <c r="K25" s="5"/>
    </row>
    <row r="26" spans="1:11" x14ac:dyDescent="0.25">
      <c r="A26" t="s">
        <v>84</v>
      </c>
      <c r="B26" t="s">
        <v>4</v>
      </c>
      <c r="C26" t="s">
        <v>7</v>
      </c>
      <c r="D26" s="5" t="s">
        <v>41</v>
      </c>
      <c r="E26">
        <v>1</v>
      </c>
      <c r="F26">
        <v>1</v>
      </c>
      <c r="G26" s="6">
        <f>ROUND(F26/E26,2)</f>
        <v>1</v>
      </c>
      <c r="K26" s="5"/>
    </row>
    <row r="27" spans="1:11" x14ac:dyDescent="0.25">
      <c r="A27" t="s">
        <v>84</v>
      </c>
      <c r="B27" t="s">
        <v>4</v>
      </c>
      <c r="C27" t="s">
        <v>6</v>
      </c>
      <c r="D27" t="s">
        <v>5</v>
      </c>
      <c r="E27">
        <v>3</v>
      </c>
      <c r="F27">
        <v>1</v>
      </c>
      <c r="G27" s="6">
        <f>ROUND(F27/E27,2)</f>
        <v>0.33</v>
      </c>
    </row>
    <row r="28" spans="1:11" x14ac:dyDescent="0.25">
      <c r="A28" t="s">
        <v>84</v>
      </c>
      <c r="B28" t="s">
        <v>4</v>
      </c>
      <c r="C28" t="s">
        <v>17</v>
      </c>
      <c r="D28" s="5" t="s">
        <v>5</v>
      </c>
      <c r="E28">
        <v>2</v>
      </c>
      <c r="F28">
        <v>0</v>
      </c>
      <c r="G28" s="6">
        <f>ROUND(F28/E28,2)</f>
        <v>0</v>
      </c>
      <c r="K28" s="5"/>
    </row>
    <row r="29" spans="1:11" x14ac:dyDescent="0.25">
      <c r="A29" t="s">
        <v>84</v>
      </c>
      <c r="B29" t="s">
        <v>4</v>
      </c>
      <c r="C29" t="s">
        <v>17</v>
      </c>
      <c r="D29" s="5" t="s">
        <v>70</v>
      </c>
      <c r="E29">
        <v>1</v>
      </c>
      <c r="F29">
        <v>1</v>
      </c>
      <c r="G29" s="6">
        <f>ROUND(F29/E29,2)</f>
        <v>1</v>
      </c>
      <c r="K29" s="5"/>
    </row>
    <row r="30" spans="1:11" x14ac:dyDescent="0.25">
      <c r="A30" t="s">
        <v>84</v>
      </c>
      <c r="B30" t="s">
        <v>4</v>
      </c>
      <c r="C30" t="s">
        <v>17</v>
      </c>
      <c r="D30" s="5" t="s">
        <v>38</v>
      </c>
      <c r="E30">
        <v>2</v>
      </c>
      <c r="F30">
        <v>2</v>
      </c>
      <c r="G30" s="6">
        <f>ROUND(F30/E30,2)</f>
        <v>1</v>
      </c>
    </row>
    <row r="31" spans="1:11" x14ac:dyDescent="0.25">
      <c r="A31" t="s">
        <v>84</v>
      </c>
      <c r="B31" t="s">
        <v>4</v>
      </c>
      <c r="C31" t="s">
        <v>17</v>
      </c>
      <c r="D31" s="5" t="s">
        <v>28</v>
      </c>
      <c r="E31">
        <v>2</v>
      </c>
      <c r="F31">
        <v>1</v>
      </c>
      <c r="G31" s="6">
        <f>ROUND(F31/E31,2)</f>
        <v>0.5</v>
      </c>
    </row>
    <row r="32" spans="1:11" x14ac:dyDescent="0.25">
      <c r="A32" t="s">
        <v>84</v>
      </c>
      <c r="B32" t="s">
        <v>4</v>
      </c>
      <c r="C32" t="s">
        <v>67</v>
      </c>
      <c r="D32" s="5" t="s">
        <v>5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84</v>
      </c>
      <c r="B33" t="s">
        <v>4</v>
      </c>
      <c r="C33" t="s">
        <v>32</v>
      </c>
      <c r="D33" s="5" t="s">
        <v>5</v>
      </c>
      <c r="E33">
        <v>3</v>
      </c>
      <c r="F33">
        <v>1</v>
      </c>
      <c r="G33" s="6">
        <f>ROUND(F33/E33,2)</f>
        <v>0.33</v>
      </c>
    </row>
    <row r="34" spans="1:7" x14ac:dyDescent="0.25">
      <c r="A34" t="s">
        <v>84</v>
      </c>
      <c r="B34" t="s">
        <v>4</v>
      </c>
      <c r="C34" t="s">
        <v>50</v>
      </c>
      <c r="D34" s="5" t="s">
        <v>5</v>
      </c>
      <c r="E34">
        <v>5</v>
      </c>
      <c r="F34">
        <v>1</v>
      </c>
      <c r="G34" s="6">
        <f>ROUND(F34/E34,2)</f>
        <v>0.2</v>
      </c>
    </row>
    <row r="35" spans="1:7" x14ac:dyDescent="0.25">
      <c r="A35" t="s">
        <v>84</v>
      </c>
      <c r="B35" t="s">
        <v>4</v>
      </c>
      <c r="C35" t="s">
        <v>73</v>
      </c>
      <c r="D35" s="5" t="s">
        <v>5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84</v>
      </c>
      <c r="B36" t="s">
        <v>4</v>
      </c>
      <c r="C36" t="s">
        <v>20</v>
      </c>
      <c r="D36" s="5" t="s">
        <v>5</v>
      </c>
      <c r="E36">
        <v>17</v>
      </c>
      <c r="F36">
        <v>5</v>
      </c>
      <c r="G36" s="6">
        <f>ROUND(F36/E36,2)</f>
        <v>0.28999999999999998</v>
      </c>
    </row>
    <row r="37" spans="1:7" x14ac:dyDescent="0.25">
      <c r="A37" t="s">
        <v>84</v>
      </c>
      <c r="B37" t="s">
        <v>4</v>
      </c>
      <c r="C37" t="s">
        <v>20</v>
      </c>
      <c r="D37" s="5" t="s">
        <v>28</v>
      </c>
      <c r="E37">
        <v>2</v>
      </c>
      <c r="F37">
        <v>0</v>
      </c>
      <c r="G37" s="6">
        <f>ROUND(F37/E37,2)</f>
        <v>0</v>
      </c>
    </row>
    <row r="38" spans="1:7" x14ac:dyDescent="0.25">
      <c r="A38" t="s">
        <v>84</v>
      </c>
      <c r="B38" t="s">
        <v>4</v>
      </c>
      <c r="C38" t="s">
        <v>20</v>
      </c>
      <c r="D38" s="5" t="s">
        <v>10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84</v>
      </c>
      <c r="B39" t="s">
        <v>4</v>
      </c>
      <c r="C39" t="s">
        <v>20</v>
      </c>
      <c r="D39" s="5" t="s">
        <v>38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84</v>
      </c>
      <c r="B40" t="s">
        <v>4</v>
      </c>
      <c r="C40" t="s">
        <v>83</v>
      </c>
      <c r="D40" s="5" t="s">
        <v>59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84</v>
      </c>
      <c r="B41" t="s">
        <v>4</v>
      </c>
      <c r="C41" t="s">
        <v>34</v>
      </c>
      <c r="D41" t="s">
        <v>5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84</v>
      </c>
      <c r="B42" t="s">
        <v>4</v>
      </c>
      <c r="C42" t="s">
        <v>71</v>
      </c>
      <c r="D42" t="s">
        <v>5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84</v>
      </c>
      <c r="B43" t="s">
        <v>4</v>
      </c>
      <c r="C43" t="s">
        <v>22</v>
      </c>
      <c r="D43" t="s">
        <v>41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84</v>
      </c>
      <c r="B44" t="s">
        <v>4</v>
      </c>
      <c r="C44" t="s">
        <v>22</v>
      </c>
      <c r="D44" s="5" t="s">
        <v>28</v>
      </c>
      <c r="E44">
        <v>5</v>
      </c>
      <c r="F44">
        <v>2</v>
      </c>
      <c r="G44" s="6">
        <f>ROUND(F44/E44,2)</f>
        <v>0.4</v>
      </c>
    </row>
    <row r="45" spans="1:7" x14ac:dyDescent="0.25">
      <c r="A45" t="s">
        <v>84</v>
      </c>
      <c r="B45" t="s">
        <v>4</v>
      </c>
      <c r="C45" t="s">
        <v>22</v>
      </c>
      <c r="D45" s="5" t="s">
        <v>5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84</v>
      </c>
      <c r="B46" t="s">
        <v>4</v>
      </c>
      <c r="C46" t="s">
        <v>22</v>
      </c>
      <c r="D46" s="5" t="s">
        <v>70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84</v>
      </c>
      <c r="B47" s="9" t="s">
        <v>14</v>
      </c>
      <c r="C47" s="9" t="s">
        <v>53</v>
      </c>
      <c r="D47" s="9" t="s">
        <v>72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84</v>
      </c>
      <c r="B48" t="s">
        <v>14</v>
      </c>
      <c r="C48" t="s">
        <v>53</v>
      </c>
      <c r="D48" t="s">
        <v>28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84</v>
      </c>
      <c r="B49" t="s">
        <v>44</v>
      </c>
      <c r="C49" t="s">
        <v>45</v>
      </c>
      <c r="D49" t="s">
        <v>28</v>
      </c>
      <c r="E49">
        <v>8</v>
      </c>
      <c r="F49">
        <v>3</v>
      </c>
      <c r="G49" s="6">
        <f>ROUND(F49/E49,2)</f>
        <v>0.38</v>
      </c>
    </row>
    <row r="50" spans="1:7" x14ac:dyDescent="0.25">
      <c r="A50" t="s">
        <v>84</v>
      </c>
      <c r="B50" t="s">
        <v>44</v>
      </c>
      <c r="C50" t="s">
        <v>45</v>
      </c>
      <c r="D50" s="5" t="s">
        <v>81</v>
      </c>
      <c r="E50">
        <v>3</v>
      </c>
      <c r="F50">
        <v>1</v>
      </c>
      <c r="G50" s="6">
        <f>ROUND(F50/E50,2)</f>
        <v>0.33</v>
      </c>
    </row>
    <row r="51" spans="1:7" x14ac:dyDescent="0.25">
      <c r="A51" t="s">
        <v>84</v>
      </c>
      <c r="B51" t="s">
        <v>4</v>
      </c>
      <c r="C51" t="s">
        <v>36</v>
      </c>
      <c r="D51" s="5" t="s">
        <v>5</v>
      </c>
      <c r="E51">
        <v>4</v>
      </c>
      <c r="F51">
        <v>0</v>
      </c>
      <c r="G51" s="6">
        <f>ROUND(F51/E51,2)</f>
        <v>0</v>
      </c>
    </row>
    <row r="52" spans="1:7" x14ac:dyDescent="0.25">
      <c r="A52" t="s">
        <v>84</v>
      </c>
      <c r="B52" t="s">
        <v>4</v>
      </c>
      <c r="C52" t="s">
        <v>63</v>
      </c>
      <c r="D52" t="s">
        <v>5</v>
      </c>
      <c r="E52">
        <v>2</v>
      </c>
      <c r="F52">
        <v>1</v>
      </c>
      <c r="G52" s="6">
        <f>ROUND(F52/E52,2)</f>
        <v>0.5</v>
      </c>
    </row>
    <row r="53" spans="1:7" x14ac:dyDescent="0.25">
      <c r="A53" t="s">
        <v>84</v>
      </c>
      <c r="B53" t="s">
        <v>4</v>
      </c>
      <c r="C53" t="s">
        <v>66</v>
      </c>
      <c r="D53" t="s">
        <v>5</v>
      </c>
      <c r="E53">
        <v>2</v>
      </c>
      <c r="F53">
        <v>0</v>
      </c>
      <c r="G53" s="6">
        <f>ROUND(F53/E53,2)</f>
        <v>0</v>
      </c>
    </row>
    <row r="54" spans="1:7" x14ac:dyDescent="0.25">
      <c r="A54" t="s">
        <v>84</v>
      </c>
      <c r="B54" t="s">
        <v>4</v>
      </c>
      <c r="C54" t="s">
        <v>33</v>
      </c>
      <c r="D54" s="5" t="s">
        <v>5</v>
      </c>
      <c r="E54">
        <v>2</v>
      </c>
      <c r="F54">
        <v>1</v>
      </c>
      <c r="G54" s="6">
        <f>ROUND(F54/E54,2)</f>
        <v>0.5</v>
      </c>
    </row>
    <row r="55" spans="1:7" x14ac:dyDescent="0.25">
      <c r="A55" t="s">
        <v>84</v>
      </c>
      <c r="B55" t="s">
        <v>47</v>
      </c>
      <c r="C55" t="s">
        <v>78</v>
      </c>
      <c r="D55" t="s">
        <v>28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84</v>
      </c>
      <c r="B56" t="s">
        <v>4</v>
      </c>
      <c r="C56" t="s">
        <v>79</v>
      </c>
      <c r="D56" t="s">
        <v>5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84</v>
      </c>
      <c r="B57" t="s">
        <v>4</v>
      </c>
      <c r="C57" t="s">
        <v>64</v>
      </c>
      <c r="D57" s="5" t="s">
        <v>5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84</v>
      </c>
      <c r="B58" s="12" t="s">
        <v>4</v>
      </c>
      <c r="C58" s="12" t="s">
        <v>16</v>
      </c>
      <c r="D58" s="14" t="s">
        <v>5</v>
      </c>
      <c r="E58">
        <v>9</v>
      </c>
      <c r="F58">
        <v>4</v>
      </c>
      <c r="G58" s="6">
        <f>ROUND(F58/E58,2)</f>
        <v>0.44</v>
      </c>
    </row>
    <row r="59" spans="1:7" x14ac:dyDescent="0.25">
      <c r="A59" t="s">
        <v>84</v>
      </c>
      <c r="B59" t="s">
        <v>4</v>
      </c>
      <c r="C59" t="s">
        <v>16</v>
      </c>
      <c r="D59" s="5" t="s">
        <v>59</v>
      </c>
      <c r="E59">
        <v>2</v>
      </c>
      <c r="F59">
        <v>1</v>
      </c>
      <c r="G59" s="6">
        <f>ROUND(F59/E59,2)</f>
        <v>0.5</v>
      </c>
    </row>
    <row r="60" spans="1:7" x14ac:dyDescent="0.25">
      <c r="A60" t="s">
        <v>84</v>
      </c>
      <c r="B60" t="s">
        <v>4</v>
      </c>
      <c r="C60" t="s">
        <v>16</v>
      </c>
      <c r="D60" s="5" t="s">
        <v>10</v>
      </c>
      <c r="E60">
        <v>2</v>
      </c>
      <c r="F60">
        <v>1</v>
      </c>
      <c r="G60" s="6">
        <f>ROUND(F60/E60,2)</f>
        <v>0.5</v>
      </c>
    </row>
    <row r="61" spans="1:7" x14ac:dyDescent="0.25">
      <c r="A61" t="s">
        <v>84</v>
      </c>
      <c r="B61" t="s">
        <v>4</v>
      </c>
      <c r="C61" t="s">
        <v>16</v>
      </c>
      <c r="D61" s="5" t="s">
        <v>38</v>
      </c>
      <c r="E61">
        <v>4</v>
      </c>
      <c r="F61">
        <v>0</v>
      </c>
      <c r="G61" s="6">
        <f>ROUND(F61/E61,2)</f>
        <v>0</v>
      </c>
    </row>
    <row r="62" spans="1:7" x14ac:dyDescent="0.25">
      <c r="A62" t="s">
        <v>84</v>
      </c>
      <c r="B62" t="s">
        <v>4</v>
      </c>
      <c r="C62" t="s">
        <v>16</v>
      </c>
      <c r="D62" s="5" t="s">
        <v>70</v>
      </c>
      <c r="E62">
        <v>1</v>
      </c>
      <c r="F62">
        <v>1</v>
      </c>
      <c r="G62" s="6">
        <f>ROUND(F62/E62,2)</f>
        <v>1</v>
      </c>
    </row>
    <row r="63" spans="1:7" x14ac:dyDescent="0.25">
      <c r="A63" t="s">
        <v>84</v>
      </c>
      <c r="B63" t="s">
        <v>4</v>
      </c>
      <c r="C63" t="s">
        <v>16</v>
      </c>
      <c r="D63" s="5" t="s">
        <v>41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84</v>
      </c>
      <c r="B64" s="12" t="s">
        <v>4</v>
      </c>
      <c r="C64" s="12" t="s">
        <v>19</v>
      </c>
      <c r="D64" s="14" t="s">
        <v>5</v>
      </c>
      <c r="E64">
        <v>3</v>
      </c>
      <c r="F64">
        <v>0</v>
      </c>
      <c r="G64" s="6">
        <f>ROUND(F64/E64,2)</f>
        <v>0</v>
      </c>
    </row>
    <row r="65" spans="1:7" x14ac:dyDescent="0.25">
      <c r="A65" t="s">
        <v>84</v>
      </c>
      <c r="B65" s="12" t="s">
        <v>4</v>
      </c>
      <c r="C65" s="12" t="s">
        <v>80</v>
      </c>
      <c r="D65" s="12" t="s">
        <v>5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84</v>
      </c>
      <c r="B66" s="13" t="s">
        <v>4</v>
      </c>
      <c r="C66" s="13" t="s">
        <v>21</v>
      </c>
      <c r="D66" s="13" t="s">
        <v>5</v>
      </c>
      <c r="E66">
        <v>2</v>
      </c>
      <c r="F66">
        <v>1</v>
      </c>
      <c r="G66" s="6">
        <f>ROUND(F66/E66,2)</f>
        <v>0.5</v>
      </c>
    </row>
    <row r="67" spans="1:7" x14ac:dyDescent="0.25">
      <c r="A67" t="s">
        <v>84</v>
      </c>
      <c r="B67" t="s">
        <v>12</v>
      </c>
      <c r="C67" s="12" t="s">
        <v>27</v>
      </c>
      <c r="D67" t="s">
        <v>28</v>
      </c>
      <c r="E67">
        <v>1</v>
      </c>
      <c r="F67">
        <v>0</v>
      </c>
      <c r="G67" s="6">
        <f>ROUND(F67/E67,2)</f>
        <v>0</v>
      </c>
    </row>
    <row r="68" spans="1:7" x14ac:dyDescent="0.25">
      <c r="G68" s="6"/>
    </row>
    <row r="69" spans="1:7" x14ac:dyDescent="0.25">
      <c r="G69" s="6"/>
    </row>
    <row r="70" spans="1:7" x14ac:dyDescent="0.25">
      <c r="G70" s="6"/>
    </row>
    <row r="71" spans="1:7" x14ac:dyDescent="0.25">
      <c r="G71" s="6"/>
    </row>
    <row r="72" spans="1:7" x14ac:dyDescent="0.25">
      <c r="D72" s="5"/>
      <c r="G72" s="6"/>
    </row>
    <row r="73" spans="1:7" x14ac:dyDescent="0.25">
      <c r="G73" s="6"/>
    </row>
    <row r="74" spans="1:7" x14ac:dyDescent="0.25">
      <c r="G74" s="6"/>
    </row>
    <row r="75" spans="1:7" x14ac:dyDescent="0.25">
      <c r="D75" s="5"/>
      <c r="G75" s="6"/>
    </row>
    <row r="76" spans="1:7" x14ac:dyDescent="0.25"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G91" s="6"/>
    </row>
    <row r="92" spans="4:7" x14ac:dyDescent="0.25">
      <c r="D92" s="5"/>
      <c r="G92" s="6"/>
    </row>
    <row r="93" spans="4:7" x14ac:dyDescent="0.25">
      <c r="D93" s="5"/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D99" s="5"/>
      <c r="G99" s="6"/>
    </row>
    <row r="100" spans="4:7" x14ac:dyDescent="0.25">
      <c r="D100" s="5"/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D111" s="5"/>
      <c r="G111" s="6"/>
    </row>
    <row r="112" spans="4:7" x14ac:dyDescent="0.25">
      <c r="D112" s="5"/>
      <c r="G112" s="6"/>
    </row>
    <row r="113" spans="4:7" x14ac:dyDescent="0.25"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D116" s="5"/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D128" s="5"/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D133" s="5"/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D7FB3-BC3B-43C3-AE1A-B9308FF1D90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44.140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10" t="s">
        <v>87</v>
      </c>
      <c r="B1" s="10"/>
      <c r="C1" s="10"/>
      <c r="D1" s="10"/>
      <c r="E1" s="10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10"/>
      <c r="B2" s="10"/>
      <c r="C2" s="10"/>
      <c r="D2" s="10"/>
      <c r="E2" s="10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10"/>
      <c r="B3" s="10"/>
      <c r="C3" s="10"/>
      <c r="D3" s="10"/>
      <c r="E3" s="10"/>
      <c r="F3" s="2"/>
      <c r="G3" s="2"/>
      <c r="H3" s="11"/>
      <c r="I3" s="11"/>
      <c r="J3" s="11"/>
      <c r="K3" s="11"/>
      <c r="L3" s="11"/>
      <c r="M3" s="11"/>
      <c r="N3" s="2"/>
      <c r="O3" s="2"/>
      <c r="P3" s="2"/>
      <c r="Q3" s="2"/>
      <c r="R3" s="2"/>
    </row>
    <row r="4" spans="1:18" ht="14.45" customHeight="1" x14ac:dyDescent="0.25">
      <c r="A4" s="10"/>
      <c r="B4" s="10"/>
      <c r="C4" s="10"/>
      <c r="D4" s="10"/>
      <c r="E4" s="10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10"/>
      <c r="B5" s="10"/>
      <c r="C5" s="10"/>
      <c r="D5" s="10"/>
      <c r="E5" s="10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10"/>
      <c r="B6" s="10"/>
      <c r="C6" s="10"/>
      <c r="D6" s="10"/>
      <c r="E6" s="10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10"/>
      <c r="B7" s="10"/>
      <c r="C7" s="10"/>
      <c r="D7" s="10"/>
      <c r="E7" s="10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91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84</v>
      </c>
      <c r="B12" t="s">
        <v>88</v>
      </c>
      <c r="C12">
        <v>8</v>
      </c>
      <c r="D12">
        <v>3</v>
      </c>
      <c r="E12" s="6">
        <f t="shared" ref="E12:E14" si="0">ROUND(D12/C12,2)</f>
        <v>0.38</v>
      </c>
    </row>
    <row r="13" spans="1:18" x14ac:dyDescent="0.25">
      <c r="A13" t="s">
        <v>84</v>
      </c>
      <c r="B13" s="8" t="s">
        <v>89</v>
      </c>
      <c r="C13">
        <v>3</v>
      </c>
      <c r="D13">
        <v>0</v>
      </c>
      <c r="E13" s="6">
        <f t="shared" si="0"/>
        <v>0</v>
      </c>
    </row>
    <row r="14" spans="1:18" x14ac:dyDescent="0.25">
      <c r="A14" t="s">
        <v>84</v>
      </c>
      <c r="B14" s="8" t="s">
        <v>90</v>
      </c>
      <c r="C14">
        <v>4</v>
      </c>
      <c r="D14">
        <v>1</v>
      </c>
      <c r="E14" s="6">
        <f t="shared" si="0"/>
        <v>0.25</v>
      </c>
    </row>
    <row r="15" spans="1:18" x14ac:dyDescent="0.25">
      <c r="E15" s="6"/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2025-04-22T16:53:38Z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