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665" documentId="13_ncr:1_{32BD3745-769A-4363-92E4-3EACA8D86657}" xr6:coauthVersionLast="47" xr6:coauthVersionMax="47" xr10:uidLastSave="{2F406F40-91E4-45B9-8FFE-5DAEC5EDAD5E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2" l="1"/>
  <c r="J2" i="11"/>
  <c r="F17" i="12"/>
  <c r="J24" i="12"/>
  <c r="L24" i="12" s="1"/>
  <c r="J21" i="12"/>
  <c r="L21" i="12" s="1"/>
  <c r="J22" i="12"/>
  <c r="L22" i="12" s="1"/>
  <c r="J23" i="12"/>
  <c r="L23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<sst xmlns="http://schemas.openxmlformats.org/spreadsheetml/2006/main" count="46" uniqueCount="31">
  <si>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</si>
  <si>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</si>
  <si>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</si>
  <si>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</si>
  <si>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</si>
  <si>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</si>
  <si>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</si>
  <si>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</si>
  <si>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</si>
  <si>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</si>
  <si>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</si>
  <si>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</si>
  <si>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</si>
  <si>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</si>
  <si>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</si>
  <si>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</si>
  <si>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</si>
  <si>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</si>
  <si>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</si>
  <si>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</si>
  <si>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</si>
  <si>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</si>
  <si>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GuV</t>
  </si>
  <si>
    <t>Leiter</t>
  </si>
  <si>
    <t>+ 0</t>
  </si>
  <si>
    <t>Stand: 01.08.2025</t>
  </si>
  <si>
    <t>Statistik Division 5</t>
  </si>
  <si>
    <t>DE017</t>
  </si>
  <si>
    <t>DE018</t>
  </si>
  <si>
    <t>DE019</t>
  </si>
  <si>
    <t>DE020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</si>
</sst>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0" fontId="8" fillId="3" borderId="13" xfId="0" applyFont="1" applyFill="1" applyBorder="1"/>
    <xf numFmtId="49" fontId="10" fillId="3" borderId="14" xfId="0" applyNumberFormat="1" applyFont="1" applyFill="1" applyBorder="1"/>
    <xf numFmtId="0" fontId="6" fillId="3" borderId="13" xfId="0" applyFont="1" applyFill="1" applyBorder="1"/>
    <xf numFmtId="0" fontId="8" fillId="3" borderId="1" xfId="0" applyFont="1" applyFill="1" applyBorder="1"/>
    <xf numFmtId="0" fontId="6" fillId="3" borderId="1" xfId="0" applyFont="1" applyFill="1" applyBorder="1"/>
    <xf numFmtId="9" fontId="10" fillId="3" borderId="15" xfId="3" applyFont="1" applyFill="1" applyBorder="1" applyAlignment="1">
      <alignment horizontal="center" vertical="center"/>
    </xf>
    <xf numFmtId="9" fontId="10" fillId="3" borderId="16" xfId="3" applyFont="1" applyFill="1" applyBorder="1" applyAlignment="1">
      <alignment horizontal="center" vertical="center"/>
    </xf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5" fillId="3" borderId="0" xfId="0" applyFont="1" applyFill="1" applyAlignment="1">
      <alignment horizontal="right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0" fillId="3" borderId="6" xfId="0" quotePrefix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0" fontId="10" fillId="3" borderId="6" xfId="0" applyFont="1" applyFill="1" applyBorder="1" applyAlignment="1">
      <alignment horizont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2" totalsRowShown="0" headerRowDxfId="14" dataDxfId="13">
  <autoFilter ref="A1:I2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17" dataDxfId="8"/>
    <tableColumn id="7" xr3:uid="{5E213DFF-7615-48CF-8944-4C071C187C55}" name="DE018" dataDxfId="7"/>
    <tableColumn id="8" xr3:uid="{265603BC-E9E1-462B-9A6D-C0F306480253}" name="DE019" dataDxfId="6"/>
    <tableColumn id="9" xr3:uid="{8305AF6F-BFE9-4D5B-8B01-3CF39FA2D0B3}" name="DE020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40" zoomScaleNormal="40" workbookViewId="0">
      <pane ySplit="9" topLeftCell="A10" activePane="bottomLeft" state="frozen"/>
      <selection activeCell="Z33" sqref="Z33"/>
      <selection pane="bottomLeft" activeCell="D30" sqref="D30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5"/>
      <c r="B1" s="15"/>
      <c r="C1" s="41" t="s">
        <v>26</v>
      </c>
      <c r="D1" s="41"/>
      <c r="E1" s="41"/>
      <c r="F1" s="41"/>
      <c r="G1" s="41"/>
      <c r="H1" s="41"/>
      <c r="I1" s="41"/>
      <c r="J1" s="41"/>
      <c r="K1" s="41"/>
      <c r="L1" s="41"/>
      <c r="M1" s="41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5">
      <c r="A2" s="15"/>
      <c r="B2" s="15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5">
      <c r="A3" s="15"/>
      <c r="B3" s="15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5">
      <c r="A4" s="15"/>
      <c r="B4" s="15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5">
      <c r="A5" s="15"/>
      <c r="B5" s="15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5">
      <c r="A6" s="15"/>
      <c r="B6" s="15"/>
      <c r="C6" s="15"/>
      <c r="D6" s="15"/>
      <c r="E6" s="15"/>
      <c r="F6" s="15"/>
      <c r="G6" s="42" t="s">
        <v>25</v>
      </c>
      <c r="H6" s="43"/>
      <c r="I6" s="43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43"/>
      <c r="H7" s="43"/>
      <c r="I7" s="43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39" t="s">
        <v>15</v>
      </c>
      <c r="B10" s="39"/>
      <c r="C10" s="39"/>
      <c r="D10" s="39"/>
      <c r="E10" s="39"/>
      <c r="F10" s="39"/>
      <c r="G10" s="39"/>
      <c r="H10" s="39"/>
      <c r="I10" s="39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35" t="s">
        <v>11</v>
      </c>
      <c r="B11" s="35"/>
      <c r="C11" s="35"/>
      <c r="D11" s="35"/>
      <c r="E11" s="35"/>
      <c r="F11" s="35">
        <f>Finanzen!L2</f>
        <v>1</v>
      </c>
      <c r="G11" s="35"/>
      <c r="H11" s="35"/>
      <c r="I11" s="35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35" t="s">
        <v>18</v>
      </c>
      <c r="B12" s="35"/>
      <c r="C12" s="35"/>
      <c r="D12" s="35"/>
      <c r="E12" s="35"/>
      <c r="F12" s="51">
        <f>Finanzen!M2</f>
        <v>0</v>
      </c>
      <c r="G12" s="51"/>
      <c r="H12" s="51"/>
      <c r="I12" s="51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35" t="s">
        <v>19</v>
      </c>
      <c r="B13" s="35"/>
      <c r="C13" s="35"/>
      <c r="D13" s="35"/>
      <c r="E13" s="35"/>
      <c r="F13" s="40">
        <f>Finanzen!N2</f>
        <v>1</v>
      </c>
      <c r="G13" s="40"/>
      <c r="H13" s="40"/>
      <c r="I13" s="40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35" t="s">
        <v>6</v>
      </c>
      <c r="B14" s="35"/>
      <c r="C14" s="35"/>
      <c r="D14" s="35"/>
      <c r="E14" s="35"/>
      <c r="F14" s="35" t="str">
        <f>TEXT(Finanzen!M2/Finanzen!L2,"0,00%")</f>
        <v>0,00%</v>
      </c>
      <c r="G14" s="35"/>
      <c r="H14" s="35"/>
      <c r="I14" s="35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39" t="s">
        <v>16</v>
      </c>
      <c r="B16" s="39"/>
      <c r="C16" s="39"/>
      <c r="D16" s="39"/>
      <c r="E16" s="39"/>
      <c r="F16" s="39"/>
      <c r="G16" s="39"/>
      <c r="H16" s="39"/>
      <c r="I16" s="39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35" t="s">
        <v>10</v>
      </c>
      <c r="B17" s="35"/>
      <c r="C17" s="35"/>
      <c r="D17" s="35"/>
      <c r="E17" s="35"/>
      <c r="F17" s="34">
        <f>SUM(Finanzen!D:D)</f>
        <v>0</v>
      </c>
      <c r="G17" s="34"/>
      <c r="H17" s="34"/>
      <c r="I17" s="34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35" t="s">
        <v>21</v>
      </c>
      <c r="B18" s="35"/>
      <c r="C18" s="35"/>
      <c r="D18" s="35"/>
      <c r="E18" s="35"/>
      <c r="F18" s="34">
        <f>2002 + SUM(Finanzen!J:J)</f>
        <v>1901.9</v>
      </c>
      <c r="G18" s="34"/>
      <c r="H18" s="34"/>
      <c r="I18" s="34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39" t="s">
        <v>17</v>
      </c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46" t="s">
        <v>14</v>
      </c>
      <c r="B20" s="47"/>
      <c r="C20" s="48" t="s">
        <v>4</v>
      </c>
      <c r="D20" s="49"/>
      <c r="E20" s="50"/>
      <c r="F20" s="44" t="s">
        <v>12</v>
      </c>
      <c r="G20" s="45"/>
      <c r="H20" s="44" t="s">
        <v>20</v>
      </c>
      <c r="I20" s="45"/>
      <c r="J20" s="52" t="s">
        <v>13</v>
      </c>
      <c r="K20" s="45"/>
      <c r="L20" s="52" t="s">
        <v>5</v>
      </c>
      <c r="M20" s="45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29">
        <v>1</v>
      </c>
      <c r="B21" s="30"/>
      <c r="C21" s="31" t="s">
        <v>27</v>
      </c>
      <c r="D21" s="32"/>
      <c r="E21" s="33"/>
      <c r="F21" s="13">
        <v>0</v>
      </c>
      <c r="G21" s="12" t="s">
        <v>24</v>
      </c>
      <c r="H21" s="14">
        <v>0</v>
      </c>
      <c r="I21" s="12" t="s">
        <v>24</v>
      </c>
      <c r="J21" s="14">
        <f>F21+H21</f>
        <v>0</v>
      </c>
      <c r="K21" s="12" t="s">
        <v>24</v>
      </c>
      <c r="L21" s="27" t="e">
        <f>TEXT(F21/J21,"0,00%")</f>
        <v>#DIV/0!</v>
      </c>
      <c r="M21" s="28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29">
        <v>2</v>
      </c>
      <c r="B22" s="30"/>
      <c r="C22" s="31" t="s">
        <v>28</v>
      </c>
      <c r="D22" s="32"/>
      <c r="E22" s="33"/>
      <c r="F22" s="23">
        <v>0</v>
      </c>
      <c r="G22" s="12" t="s">
        <v>24</v>
      </c>
      <c r="H22" s="24">
        <v>0</v>
      </c>
      <c r="I22" s="12" t="s">
        <v>24</v>
      </c>
      <c r="J22" s="24">
        <f>F22+H22</f>
        <v>0</v>
      </c>
      <c r="K22" s="12" t="s">
        <v>24</v>
      </c>
      <c r="L22" s="27" t="e">
        <f>TEXT(F22/J22,"0,00%")</f>
        <v>#DIV/0!</v>
      </c>
      <c r="M22" s="28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29">
        <v>3</v>
      </c>
      <c r="B23" s="30"/>
      <c r="C23" s="31" t="s">
        <v>29</v>
      </c>
      <c r="D23" s="32"/>
      <c r="E23" s="33"/>
      <c r="F23" s="13">
        <v>0</v>
      </c>
      <c r="G23" s="12" t="s">
        <v>24</v>
      </c>
      <c r="H23" s="14">
        <v>0</v>
      </c>
      <c r="I23" s="12" t="s">
        <v>24</v>
      </c>
      <c r="J23" s="14">
        <f>F23+H23</f>
        <v>0</v>
      </c>
      <c r="K23" s="12" t="s">
        <v>24</v>
      </c>
      <c r="L23" s="27" t="e">
        <f>TEXT(F23/J23,"0,00%")</f>
        <v>#DIV/0!</v>
      </c>
      <c r="M23" s="28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29">
        <v>4</v>
      </c>
      <c r="B24" s="30"/>
      <c r="C24" s="36" t="s">
        <v>30</v>
      </c>
      <c r="D24" s="37"/>
      <c r="E24" s="38"/>
      <c r="F24" s="20">
        <v>0</v>
      </c>
      <c r="G24" s="21" t="s">
        <v>24</v>
      </c>
      <c r="H24" s="22">
        <v>0</v>
      </c>
      <c r="I24" s="21" t="s">
        <v>24</v>
      </c>
      <c r="J24" s="22">
        <f>F24+H24</f>
        <v>0</v>
      </c>
      <c r="K24" s="21" t="s">
        <v>24</v>
      </c>
      <c r="L24" s="25" t="e">
        <f>TEXT(F24/J24,"0,00%")</f>
        <v>#DIV/0!</v>
      </c>
      <c r="M24" s="26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A10:I10"/>
    <mergeCell ref="F13:I13"/>
    <mergeCell ref="C1:M5"/>
    <mergeCell ref="G6:I7"/>
    <mergeCell ref="F20:G20"/>
    <mergeCell ref="H20:I20"/>
    <mergeCell ref="A20:B20"/>
    <mergeCell ref="C20:E20"/>
    <mergeCell ref="F12:I12"/>
    <mergeCell ref="F11:I11"/>
    <mergeCell ref="A19:O19"/>
    <mergeCell ref="F17:I17"/>
    <mergeCell ref="L20:M20"/>
    <mergeCell ref="F14:I14"/>
    <mergeCell ref="A16:I16"/>
    <mergeCell ref="J20:K20"/>
    <mergeCell ref="F18:I18"/>
    <mergeCell ref="A17:E17"/>
    <mergeCell ref="C24:E24"/>
    <mergeCell ref="A11:E11"/>
    <mergeCell ref="A12:E12"/>
    <mergeCell ref="A13:E13"/>
    <mergeCell ref="A14:E14"/>
    <mergeCell ref="A21:B21"/>
    <mergeCell ref="A24:B24"/>
    <mergeCell ref="C22:E22"/>
    <mergeCell ref="A18:E18"/>
    <mergeCell ref="A22:B22"/>
    <mergeCell ref="L24:M24"/>
    <mergeCell ref="L22:M22"/>
    <mergeCell ref="A23:B23"/>
    <mergeCell ref="C21:E21"/>
    <mergeCell ref="C23:E23"/>
    <mergeCell ref="L23:M23"/>
    <mergeCell ref="L21:M21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0"/>
  <sheetViews>
    <sheetView zoomScale="90" zoomScaleNormal="90" workbookViewId="0">
      <pane ySplit="1" topLeftCell="A2" activePane="bottomLeft" state="frozen"/>
      <selection pane="bottomLeft" activeCell="G12" sqref="G12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9" max="9" width="10.140625" bestFit="1" customWidth="1"/>
    <col min="10" max="10" width="19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27</v>
      </c>
      <c r="F1" s="1" t="s">
        <v>28</v>
      </c>
      <c r="G1" s="1" t="s">
        <v>29</v>
      </c>
      <c r="H1" s="1" t="s">
        <v>30</v>
      </c>
      <c r="I1" s="1" t="s">
        <v>23</v>
      </c>
      <c r="J1" s="17" t="s">
        <v>22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45870</v>
      </c>
      <c r="C2" s="4">
        <v>100.1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18">
        <f t="shared" ref="J2" si="0">D2-C2-F2-E2-G2-H2-I2</f>
        <v>-100.1</v>
      </c>
      <c r="L2" s="5">
        <f>COUNTA(A:A)-1</f>
        <v>1</v>
      </c>
      <c r="M2" s="5">
        <f>COUNTIF(D:D,"&gt;0")</f>
        <v>0</v>
      </c>
      <c r="N2" s="5">
        <f>COUNTIF(D:D,"0")</f>
        <v>1</v>
      </c>
    </row>
    <row r="3" spans="1:15" ht="15.75" x14ac:dyDescent="0.25">
      <c r="A3" s="2"/>
      <c r="B3" s="3"/>
      <c r="C3" s="4"/>
      <c r="D3" s="4"/>
      <c r="E3" s="4"/>
      <c r="F3" s="4"/>
      <c r="G3" s="4"/>
      <c r="H3" s="4"/>
      <c r="I3" s="4"/>
      <c r="J3" s="19"/>
    </row>
    <row r="4" spans="1:15" ht="15.75" x14ac:dyDescent="0.25">
      <c r="A4" s="2"/>
      <c r="B4" s="3"/>
      <c r="C4" s="4"/>
      <c r="D4" s="4"/>
      <c r="E4" s="4"/>
      <c r="F4" s="4"/>
      <c r="G4" s="4"/>
      <c r="H4" s="4"/>
      <c r="I4" s="4"/>
      <c r="J4" s="19"/>
    </row>
    <row r="5" spans="1:15" ht="15.75" x14ac:dyDescent="0.25">
      <c r="A5" s="2"/>
      <c r="B5" s="3"/>
      <c r="C5" s="4"/>
      <c r="D5" s="4"/>
      <c r="E5" s="4"/>
      <c r="F5" s="4"/>
      <c r="G5" s="4"/>
      <c r="H5" s="4"/>
      <c r="I5" s="4"/>
      <c r="J5" s="19"/>
    </row>
    <row r="6" spans="1:15" ht="15.75" x14ac:dyDescent="0.25">
      <c r="A6" s="2"/>
      <c r="B6" s="3"/>
      <c r="C6" s="4"/>
      <c r="D6" s="4"/>
      <c r="E6" s="4"/>
      <c r="F6" s="4"/>
      <c r="G6" s="4"/>
      <c r="H6" s="4"/>
      <c r="I6" s="4"/>
      <c r="J6" s="19"/>
    </row>
    <row r="7" spans="1:15" ht="15.75" x14ac:dyDescent="0.25">
      <c r="A7" s="2"/>
      <c r="B7" s="3"/>
      <c r="C7" s="4"/>
      <c r="D7" s="4"/>
      <c r="E7" s="4"/>
      <c r="F7" s="4"/>
      <c r="G7" s="4"/>
      <c r="H7" s="4"/>
      <c r="I7" s="4"/>
      <c r="J7" s="19"/>
    </row>
    <row r="8" spans="1:15" ht="15.75" x14ac:dyDescent="0.25">
      <c r="A8" s="2"/>
      <c r="B8" s="3"/>
      <c r="C8" s="4"/>
      <c r="D8" s="4"/>
      <c r="E8" s="4"/>
      <c r="F8" s="4"/>
      <c r="G8" s="4"/>
      <c r="H8" s="4"/>
      <c r="I8" s="4"/>
      <c r="J8" s="19"/>
    </row>
    <row r="9" spans="1:15" ht="15.75" x14ac:dyDescent="0.25">
      <c r="A9" s="2"/>
      <c r="B9" s="3"/>
      <c r="C9" s="4"/>
      <c r="D9" s="4"/>
      <c r="E9" s="4"/>
      <c r="F9" s="4"/>
      <c r="G9" s="4"/>
      <c r="H9" s="4"/>
      <c r="I9" s="4"/>
      <c r="J9" s="19"/>
    </row>
    <row r="10" spans="1:15" ht="15.75" x14ac:dyDescent="0.25">
      <c r="A10" s="2"/>
      <c r="B10" s="3"/>
      <c r="C10" s="4"/>
      <c r="D10" s="4"/>
      <c r="E10" s="4"/>
      <c r="F10" s="4"/>
      <c r="G10" s="4"/>
      <c r="H10" s="4"/>
      <c r="I10" s="4"/>
      <c r="J10" s="19"/>
    </row>
  </sheetData>
  <autoFilter ref="J1:J2" xr:uid="{D1BCF058-FE04-46AA-A705-935E602EA711}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2025-07-12T07:43:02Z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