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03" documentId="13_ncr:1_{CCA05ED5-2A0D-4A8C-B6F5-632FDE30DEDF}" xr6:coauthVersionLast="47" xr6:coauthVersionMax="47" xr10:uidLastSave="{19198FA9-228E-472C-AF17-5783731554C8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4" i="20" l="1"/>
  <c r="G43" i="20"/>
  <c r="G42" i="20"/>
  <c r="G41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22" i="18"/>
  <c r="G18" i="18"/>
  <c r="G19" i="18"/>
  <c r="G20" i="18"/>
  <c r="G15" i="18"/>
  <c r="G41" i="18"/>
  <c r="G28" i="18"/>
  <c r="G44" i="18"/>
  <c r="G40" i="18"/>
  <c r="G34" i="18"/>
  <c r="G16" i="18"/>
  <c r="G27" i="18"/>
  <c r="G30" i="18"/>
  <c r="G31" i="18"/>
  <c r="G32" i="18"/>
  <c r="G33" i="18"/>
  <c r="G37" i="18"/>
  <c r="G13" i="18"/>
  <c r="G42" i="18"/>
  <c r="G43" i="18"/>
  <c r="G29" i="18"/>
  <c r="G23" i="18"/>
  <c r="G14" i="18"/>
  <c r="G25" i="18"/>
  <c r="G24" i="18"/>
  <c r="G38" i="18"/>
  <c r="G21" i="18"/>
  <c r="G17" i="18"/>
  <c r="G12" i="18"/>
  <c r="G39" i="18"/>
  <c r="G35" i="18"/>
  <c r="G36" i="18"/>
  <c r="G26" i="18"/>
  <c r="E12" i="21"/>
</calcChain>
</file>

<file path=xl/sharedStrings.xml><?xml version="1.0" encoding="utf-8"?>
<sst xmlns="http://schemas.openxmlformats.org/spreadsheetml/2006/main" count="290" uniqueCount="50">
  <si>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</si>
  <si>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</si>
  <si>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</si>
  <si>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</si>
  <si>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</si>
  <si>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</si>
  <si>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</si>
  <si>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</si>
  <si>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DE010 All Time-Trefferquoten</t>
  </si>
  <si>
    <t>DE010</t>
  </si>
  <si>
    <t>DE010 Saison-Trefferquoten</t>
  </si>
  <si>
    <t>DE010 Strategie</t>
  </si>
  <si>
    <t>Fußball</t>
  </si>
  <si>
    <t>Italien 2</t>
  </si>
  <si>
    <t>Unentschieden</t>
  </si>
  <si>
    <t>Kolumbien 1</t>
  </si>
  <si>
    <t>Kroatien 1</t>
  </si>
  <si>
    <t>Spanien 2</t>
  </si>
  <si>
    <t>Argentinien 1</t>
  </si>
  <si>
    <t>Deutschland 1</t>
  </si>
  <si>
    <t>Sieg</t>
  </si>
  <si>
    <t>Deutschland 3</t>
  </si>
  <si>
    <t>Landespokal</t>
  </si>
  <si>
    <t>1. Halbzeit Sieg</t>
  </si>
  <si>
    <t>England 1</t>
  </si>
  <si>
    <t>England 4</t>
  </si>
  <si>
    <t>Brasilien 2</t>
  </si>
  <si>
    <t>Ecuador 1</t>
  </si>
  <si>
    <t>Klub-WM</t>
  </si>
  <si>
    <t>2. Halbzeit Sieg</t>
  </si>
  <si>
    <t>Türkei 1</t>
  </si>
  <si>
    <t>Über X Tore</t>
  </si>
  <si>
    <t>Südkorea 3</t>
  </si>
  <si>
    <t>Argentinien 2</t>
  </si>
  <si>
    <t>Länderspiel U21</t>
  </si>
  <si>
    <t>Über X Tore &amp; Sieg</t>
  </si>
  <si>
    <t>HC 2</t>
  </si>
  <si>
    <t>Über X Tore 1. Halbzeit</t>
  </si>
  <si>
    <t>Japan 1</t>
  </si>
  <si>
    <t>Concaf Cup</t>
  </si>
  <si>
    <t>Torschütze</t>
  </si>
  <si>
    <t>Südkorea 1</t>
  </si>
  <si>
    <t>USA 1</t>
  </si>
  <si>
    <t>Japan 2</t>
  </si>
  <si>
    <t>Südkorea 2</t>
  </si>
  <si>
    <t>Champions League</t>
  </si>
  <si>
    <t>Deutschland 2</t>
  </si>
  <si>
    <t>HC 1</t>
  </si>
  <si>
    <t>Über X Tore &amp; Doppelte Chance</t>
  </si>
  <si>
    <t>Stand: 09.08.2025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</si>
</sst>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44" totalsRowShown="0">
  <autoFilter ref="A11:G44" xr:uid="{C312ECBC-370A-48F5-9745-177D5CBECA62}"/>
  <sortState xmlns:xlrd2="http://schemas.microsoft.com/office/spreadsheetml/2017/richdata2" ref="A12:G44">
    <sortCondition ref="C11:C44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44" totalsRowShown="0">
  <autoFilter ref="A11:G44" xr:uid="{C312ECBC-370A-48F5-9745-177D5CBECA62}"/>
  <sortState xmlns:xlrd2="http://schemas.microsoft.com/office/spreadsheetml/2017/richdata2" ref="A12:G44">
    <sortCondition ref="C11:C44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44"/>
  <sheetViews>
    <sheetView showGridLines="0" tabSelected="1" zoomScaleNormal="100" workbookViewId="0">
      <pane ySplit="11" topLeftCell="A12" activePane="bottomLeft" state="frozen"/>
      <selection pane="bottomLeft" activeCell="E16" sqref="E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18</v>
      </c>
      <c r="D12" s="5" t="s">
        <v>14</v>
      </c>
      <c r="E12">
        <v>5</v>
      </c>
      <c r="F12">
        <v>3</v>
      </c>
      <c r="G12" s="6">
        <f>ROUND(F12/E12,2)</f>
        <v>0.6</v>
      </c>
    </row>
    <row r="13" spans="1:20" x14ac:dyDescent="0.25">
      <c r="A13" t="s">
        <v>9</v>
      </c>
      <c r="B13" t="s">
        <v>12</v>
      </c>
      <c r="C13" t="s">
        <v>33</v>
      </c>
      <c r="D13" s="5" t="s">
        <v>14</v>
      </c>
      <c r="E13">
        <v>4</v>
      </c>
      <c r="F13">
        <v>2</v>
      </c>
      <c r="G13" s="6">
        <f>ROUND(F13/E13,2)</f>
        <v>0.5</v>
      </c>
    </row>
    <row r="14" spans="1:20" x14ac:dyDescent="0.25">
      <c r="A14" t="s">
        <v>9</v>
      </c>
      <c r="B14" t="s">
        <v>12</v>
      </c>
      <c r="C14" t="s">
        <v>26</v>
      </c>
      <c r="D14" s="5" t="s">
        <v>14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9</v>
      </c>
      <c r="B15" t="s">
        <v>12</v>
      </c>
      <c r="C15" t="s">
        <v>45</v>
      </c>
      <c r="D15" s="5" t="s">
        <v>20</v>
      </c>
      <c r="E15">
        <v>2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39</v>
      </c>
      <c r="D16" s="5" t="s">
        <v>23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19</v>
      </c>
      <c r="D17" s="5" t="s">
        <v>20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46</v>
      </c>
      <c r="D18" s="5" t="s">
        <v>20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46</v>
      </c>
      <c r="D19" s="5" t="s">
        <v>47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46</v>
      </c>
      <c r="D20" s="5" t="s">
        <v>48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21</v>
      </c>
      <c r="D21" s="5" t="s">
        <v>14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21</v>
      </c>
      <c r="D22" s="5" t="s">
        <v>20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27</v>
      </c>
      <c r="D23" s="5" t="s">
        <v>14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24</v>
      </c>
      <c r="D24" s="5" t="s">
        <v>20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25</v>
      </c>
      <c r="D25" s="5" t="s">
        <v>14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13</v>
      </c>
      <c r="D26" s="5" t="s">
        <v>14</v>
      </c>
      <c r="E26">
        <v>2</v>
      </c>
      <c r="F26">
        <v>1</v>
      </c>
      <c r="G26" s="6">
        <f>ROUND(F26/E26,2)</f>
        <v>0.5</v>
      </c>
    </row>
    <row r="27" spans="1:7" x14ac:dyDescent="0.25">
      <c r="A27" t="s">
        <v>9</v>
      </c>
      <c r="B27" t="s">
        <v>12</v>
      </c>
      <c r="C27" t="s">
        <v>38</v>
      </c>
      <c r="D27" s="5" t="s">
        <v>14</v>
      </c>
      <c r="E27">
        <v>3</v>
      </c>
      <c r="F27">
        <v>2</v>
      </c>
      <c r="G27" s="6">
        <f>ROUND(F27/E27,2)</f>
        <v>0.67</v>
      </c>
    </row>
    <row r="28" spans="1:7" x14ac:dyDescent="0.25">
      <c r="A28" t="s">
        <v>9</v>
      </c>
      <c r="B28" t="s">
        <v>12</v>
      </c>
      <c r="C28" t="s">
        <v>43</v>
      </c>
      <c r="D28" s="5" t="s">
        <v>14</v>
      </c>
      <c r="E28">
        <v>2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28</v>
      </c>
      <c r="D29" s="5" t="s">
        <v>29</v>
      </c>
      <c r="E29">
        <v>1</v>
      </c>
      <c r="F29">
        <v>1</v>
      </c>
      <c r="G29" s="6">
        <f>ROUND(F29/E29,2)</f>
        <v>1</v>
      </c>
    </row>
    <row r="30" spans="1:7" x14ac:dyDescent="0.25">
      <c r="A30" t="s">
        <v>9</v>
      </c>
      <c r="B30" t="s">
        <v>12</v>
      </c>
      <c r="C30" t="s">
        <v>28</v>
      </c>
      <c r="D30" s="5" t="s">
        <v>31</v>
      </c>
      <c r="E30">
        <v>3</v>
      </c>
      <c r="F30">
        <v>2</v>
      </c>
      <c r="G30" s="6">
        <f>ROUND(F30/E30,2)</f>
        <v>0.67</v>
      </c>
    </row>
    <row r="31" spans="1:7" x14ac:dyDescent="0.25">
      <c r="A31" t="s">
        <v>9</v>
      </c>
      <c r="B31" t="s">
        <v>12</v>
      </c>
      <c r="C31" t="s">
        <v>28</v>
      </c>
      <c r="D31" s="5" t="s">
        <v>36</v>
      </c>
      <c r="E31">
        <v>2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28</v>
      </c>
      <c r="D32" s="5" t="s">
        <v>20</v>
      </c>
      <c r="E32">
        <v>2</v>
      </c>
      <c r="F32">
        <v>1</v>
      </c>
      <c r="G32" s="6">
        <f>ROUND(F32/E32,2)</f>
        <v>0.5</v>
      </c>
    </row>
    <row r="33" spans="1:7" x14ac:dyDescent="0.25">
      <c r="A33" t="s">
        <v>9</v>
      </c>
      <c r="B33" t="s">
        <v>12</v>
      </c>
      <c r="C33" t="s">
        <v>28</v>
      </c>
      <c r="D33" s="5" t="s">
        <v>37</v>
      </c>
      <c r="E33">
        <v>1</v>
      </c>
      <c r="F33">
        <v>1</v>
      </c>
      <c r="G33" s="6">
        <f>ROUND(F33/E33,2)</f>
        <v>1</v>
      </c>
    </row>
    <row r="34" spans="1:7" x14ac:dyDescent="0.25">
      <c r="A34" t="s">
        <v>9</v>
      </c>
      <c r="B34" t="s">
        <v>12</v>
      </c>
      <c r="C34" t="s">
        <v>28</v>
      </c>
      <c r="D34" s="5" t="s">
        <v>40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15</v>
      </c>
      <c r="D35" s="5" t="s">
        <v>14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16</v>
      </c>
      <c r="D36" s="5" t="s">
        <v>14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9</v>
      </c>
      <c r="B37" t="s">
        <v>12</v>
      </c>
      <c r="C37" t="s">
        <v>34</v>
      </c>
      <c r="D37" s="5" t="s">
        <v>35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22</v>
      </c>
      <c r="D38" s="5" t="s">
        <v>23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17</v>
      </c>
      <c r="D39" s="5" t="s">
        <v>14</v>
      </c>
      <c r="E39">
        <v>2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41</v>
      </c>
      <c r="D40" s="5" t="s">
        <v>14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44</v>
      </c>
      <c r="D41" s="5" t="s">
        <v>14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9</v>
      </c>
      <c r="B42" t="s">
        <v>12</v>
      </c>
      <c r="C42" t="s">
        <v>32</v>
      </c>
      <c r="D42" s="5" t="s">
        <v>14</v>
      </c>
      <c r="E42">
        <v>1</v>
      </c>
      <c r="F42">
        <v>1</v>
      </c>
      <c r="G42" s="6">
        <f>ROUND(F42/E42,2)</f>
        <v>1</v>
      </c>
    </row>
    <row r="43" spans="1:7" x14ac:dyDescent="0.25">
      <c r="A43" t="s">
        <v>9</v>
      </c>
      <c r="B43" t="s">
        <v>12</v>
      </c>
      <c r="C43" t="s">
        <v>30</v>
      </c>
      <c r="D43" s="5" t="s">
        <v>31</v>
      </c>
      <c r="E43">
        <v>1</v>
      </c>
      <c r="F43">
        <v>1</v>
      </c>
      <c r="G43" s="6">
        <f>ROUND(F43/E43,2)</f>
        <v>1</v>
      </c>
    </row>
    <row r="44" spans="1:7" x14ac:dyDescent="0.25">
      <c r="A44" t="s">
        <v>9</v>
      </c>
      <c r="B44" t="s">
        <v>12</v>
      </c>
      <c r="C44" t="s">
        <v>42</v>
      </c>
      <c r="D44" s="5" t="s">
        <v>20</v>
      </c>
      <c r="E44">
        <v>2</v>
      </c>
      <c r="F44">
        <v>0</v>
      </c>
      <c r="G44" s="6">
        <f>ROUND(F44/E44,2)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3"/>
  <sheetViews>
    <sheetView showGridLines="0" zoomScaleNormal="100" workbookViewId="0">
      <pane ySplit="11" topLeftCell="A12" activePane="bottomLeft" state="frozen"/>
      <selection pane="bottomLeft" activeCell="C15" sqref="C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18</v>
      </c>
      <c r="D12" s="5" t="s">
        <v>14</v>
      </c>
      <c r="E12">
        <v>5</v>
      </c>
      <c r="F12">
        <v>3</v>
      </c>
      <c r="G12" s="6">
        <f>ROUND(F12/E12,2)</f>
        <v>0.6</v>
      </c>
    </row>
    <row r="13" spans="1:20" x14ac:dyDescent="0.25">
      <c r="A13" t="s">
        <v>9</v>
      </c>
      <c r="B13" t="s">
        <v>12</v>
      </c>
      <c r="C13" t="s">
        <v>33</v>
      </c>
      <c r="D13" s="5" t="s">
        <v>14</v>
      </c>
      <c r="E13">
        <v>4</v>
      </c>
      <c r="F13">
        <v>2</v>
      </c>
      <c r="G13" s="6">
        <f>ROUND(F13/E13,2)</f>
        <v>0.5</v>
      </c>
    </row>
    <row r="14" spans="1:20" x14ac:dyDescent="0.25">
      <c r="A14" t="s">
        <v>9</v>
      </c>
      <c r="B14" t="s">
        <v>12</v>
      </c>
      <c r="C14" t="s">
        <v>26</v>
      </c>
      <c r="D14" s="5" t="s">
        <v>14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9</v>
      </c>
      <c r="B15" t="s">
        <v>12</v>
      </c>
      <c r="C15" t="s">
        <v>45</v>
      </c>
      <c r="D15" s="5" t="s">
        <v>20</v>
      </c>
      <c r="E15">
        <v>2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39</v>
      </c>
      <c r="D16" s="5" t="s">
        <v>23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19</v>
      </c>
      <c r="D17" s="5" t="s">
        <v>20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46</v>
      </c>
      <c r="D18" s="5" t="s">
        <v>20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46</v>
      </c>
      <c r="D19" s="5" t="s">
        <v>47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46</v>
      </c>
      <c r="D20" s="5" t="s">
        <v>48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21</v>
      </c>
      <c r="D21" s="5" t="s">
        <v>14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21</v>
      </c>
      <c r="D22" s="5" t="s">
        <v>20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27</v>
      </c>
      <c r="D23" s="5" t="s">
        <v>14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24</v>
      </c>
      <c r="D24" s="5" t="s">
        <v>20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25</v>
      </c>
      <c r="D25" s="5" t="s">
        <v>14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13</v>
      </c>
      <c r="D26" s="5" t="s">
        <v>14</v>
      </c>
      <c r="E26">
        <v>2</v>
      </c>
      <c r="F26">
        <v>1</v>
      </c>
      <c r="G26" s="6">
        <f>ROUND(F26/E26,2)</f>
        <v>0.5</v>
      </c>
    </row>
    <row r="27" spans="1:7" x14ac:dyDescent="0.25">
      <c r="A27" t="s">
        <v>9</v>
      </c>
      <c r="B27" t="s">
        <v>12</v>
      </c>
      <c r="C27" t="s">
        <v>38</v>
      </c>
      <c r="D27" s="5" t="s">
        <v>14</v>
      </c>
      <c r="E27">
        <v>3</v>
      </c>
      <c r="F27">
        <v>2</v>
      </c>
      <c r="G27" s="6">
        <f>ROUND(F27/E27,2)</f>
        <v>0.67</v>
      </c>
    </row>
    <row r="28" spans="1:7" x14ac:dyDescent="0.25">
      <c r="A28" t="s">
        <v>9</v>
      </c>
      <c r="B28" t="s">
        <v>12</v>
      </c>
      <c r="C28" t="s">
        <v>43</v>
      </c>
      <c r="D28" s="5" t="s">
        <v>14</v>
      </c>
      <c r="E28">
        <v>2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28</v>
      </c>
      <c r="D29" s="5" t="s">
        <v>29</v>
      </c>
      <c r="E29">
        <v>1</v>
      </c>
      <c r="F29">
        <v>1</v>
      </c>
      <c r="G29" s="6">
        <f>ROUND(F29/E29,2)</f>
        <v>1</v>
      </c>
    </row>
    <row r="30" spans="1:7" x14ac:dyDescent="0.25">
      <c r="A30" t="s">
        <v>9</v>
      </c>
      <c r="B30" t="s">
        <v>12</v>
      </c>
      <c r="C30" t="s">
        <v>28</v>
      </c>
      <c r="D30" s="5" t="s">
        <v>31</v>
      </c>
      <c r="E30">
        <v>3</v>
      </c>
      <c r="F30">
        <v>2</v>
      </c>
      <c r="G30" s="6">
        <f>ROUND(F30/E30,2)</f>
        <v>0.67</v>
      </c>
    </row>
    <row r="31" spans="1:7" x14ac:dyDescent="0.25">
      <c r="A31" t="s">
        <v>9</v>
      </c>
      <c r="B31" t="s">
        <v>12</v>
      </c>
      <c r="C31" t="s">
        <v>28</v>
      </c>
      <c r="D31" s="5" t="s">
        <v>36</v>
      </c>
      <c r="E31">
        <v>2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28</v>
      </c>
      <c r="D32" s="5" t="s">
        <v>20</v>
      </c>
      <c r="E32">
        <v>2</v>
      </c>
      <c r="F32">
        <v>1</v>
      </c>
      <c r="G32" s="6">
        <f>ROUND(F32/E32,2)</f>
        <v>0.5</v>
      </c>
    </row>
    <row r="33" spans="1:7" x14ac:dyDescent="0.25">
      <c r="A33" t="s">
        <v>9</v>
      </c>
      <c r="B33" t="s">
        <v>12</v>
      </c>
      <c r="C33" t="s">
        <v>28</v>
      </c>
      <c r="D33" s="5" t="s">
        <v>37</v>
      </c>
      <c r="E33">
        <v>1</v>
      </c>
      <c r="F33">
        <v>1</v>
      </c>
      <c r="G33" s="6">
        <f>ROUND(F33/E33,2)</f>
        <v>1</v>
      </c>
    </row>
    <row r="34" spans="1:7" x14ac:dyDescent="0.25">
      <c r="A34" t="s">
        <v>9</v>
      </c>
      <c r="B34" t="s">
        <v>12</v>
      </c>
      <c r="C34" t="s">
        <v>28</v>
      </c>
      <c r="D34" s="5" t="s">
        <v>40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15</v>
      </c>
      <c r="D35" s="5" t="s">
        <v>14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16</v>
      </c>
      <c r="D36" s="5" t="s">
        <v>14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9</v>
      </c>
      <c r="B37" t="s">
        <v>12</v>
      </c>
      <c r="C37" t="s">
        <v>34</v>
      </c>
      <c r="D37" s="5" t="s">
        <v>35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22</v>
      </c>
      <c r="D38" s="5" t="s">
        <v>23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17</v>
      </c>
      <c r="D39" s="5" t="s">
        <v>14</v>
      </c>
      <c r="E39">
        <v>2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41</v>
      </c>
      <c r="D40" s="5" t="s">
        <v>14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44</v>
      </c>
      <c r="D41" s="5" t="s">
        <v>14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9</v>
      </c>
      <c r="B42" t="s">
        <v>12</v>
      </c>
      <c r="C42" t="s">
        <v>32</v>
      </c>
      <c r="D42" s="5" t="s">
        <v>14</v>
      </c>
      <c r="E42">
        <v>1</v>
      </c>
      <c r="F42">
        <v>1</v>
      </c>
      <c r="G42" s="6">
        <f>ROUND(F42/E42,2)</f>
        <v>1</v>
      </c>
    </row>
    <row r="43" spans="1:7" x14ac:dyDescent="0.25">
      <c r="A43" t="s">
        <v>9</v>
      </c>
      <c r="B43" t="s">
        <v>12</v>
      </c>
      <c r="C43" t="s">
        <v>30</v>
      </c>
      <c r="D43" s="5" t="s">
        <v>31</v>
      </c>
      <c r="E43">
        <v>1</v>
      </c>
      <c r="F43">
        <v>1</v>
      </c>
      <c r="G43" s="6">
        <f>ROUND(F43/E43,2)</f>
        <v>1</v>
      </c>
    </row>
    <row r="44" spans="1:7" x14ac:dyDescent="0.25">
      <c r="A44" t="s">
        <v>9</v>
      </c>
      <c r="B44" t="s">
        <v>12</v>
      </c>
      <c r="C44" t="s">
        <v>42</v>
      </c>
      <c r="D44" s="5" t="s">
        <v>20</v>
      </c>
      <c r="E44">
        <v>2</v>
      </c>
      <c r="F44">
        <v>0</v>
      </c>
      <c r="G44" s="6">
        <f>ROUND(F44/E44,2)</f>
        <v>0</v>
      </c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D53" s="5"/>
      <c r="G53" s="6"/>
    </row>
    <row r="54" spans="4:7" x14ac:dyDescent="0.25">
      <c r="D54" s="5"/>
      <c r="G54" s="6"/>
    </row>
    <row r="55" spans="4:7" x14ac:dyDescent="0.25">
      <c r="G55" s="6"/>
    </row>
    <row r="56" spans="4:7" x14ac:dyDescent="0.25">
      <c r="G56" s="6"/>
    </row>
    <row r="57" spans="4:7" x14ac:dyDescent="0.25">
      <c r="G57" s="6"/>
    </row>
    <row r="58" spans="4:7" x14ac:dyDescent="0.25">
      <c r="D58" s="5"/>
      <c r="G58" s="6"/>
    </row>
    <row r="59" spans="4:7" x14ac:dyDescent="0.25"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D70" s="5"/>
      <c r="G70" s="6"/>
    </row>
    <row r="71" spans="4:7" x14ac:dyDescent="0.25">
      <c r="D71" s="5"/>
      <c r="G71" s="6"/>
    </row>
    <row r="72" spans="4:7" x14ac:dyDescent="0.25">
      <c r="G72" s="6"/>
    </row>
    <row r="73" spans="4:7" x14ac:dyDescent="0.25">
      <c r="G73" s="6"/>
    </row>
    <row r="74" spans="4:7" x14ac:dyDescent="0.25">
      <c r="G74" s="6"/>
    </row>
    <row r="75" spans="4:7" x14ac:dyDescent="0.25">
      <c r="D75" s="5"/>
      <c r="G75" s="6"/>
    </row>
    <row r="76" spans="4:7" x14ac:dyDescent="0.25"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D83" s="5"/>
      <c r="G83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9" sqref="A19:B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2025-08-09T09:40:15Z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