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61" documentId="13_ncr:1_{CCA05ED5-2A0D-4A8C-B6F5-632FDE30DEDF}" xr6:coauthVersionLast="47" xr6:coauthVersionMax="47" xr10:uidLastSave="{42891A29-DCD6-485E-93BA-0DE85851DE5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1" i="20" l="1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44" i="18"/>
  <c r="G43" i="18"/>
  <c r="G42" i="18"/>
  <c r="G14" i="18"/>
  <c r="G27" i="18"/>
  <c r="G39" i="18"/>
  <c r="G45" i="18"/>
  <c r="G23" i="18"/>
  <c r="G19" i="18"/>
  <c r="G20" i="18"/>
  <c r="G21" i="18"/>
  <c r="G16" i="18"/>
  <c r="G48" i="18"/>
  <c r="G30" i="18"/>
  <c r="G51" i="18"/>
  <c r="G47" i="18"/>
  <c r="G36" i="18"/>
  <c r="G17" i="18"/>
  <c r="G29" i="18"/>
  <c r="G32" i="18"/>
  <c r="G33" i="18"/>
  <c r="G34" i="18"/>
  <c r="G35" i="18"/>
  <c r="G40" i="18"/>
  <c r="G13" i="18"/>
  <c r="G49" i="18"/>
  <c r="G50" i="18"/>
  <c r="G31" i="18"/>
  <c r="G24" i="18"/>
  <c r="G15" i="18"/>
  <c r="G26" i="18"/>
  <c r="G25" i="18"/>
  <c r="G41" i="18"/>
  <c r="G22" i="18"/>
  <c r="G18" i="18"/>
  <c r="G12" i="18"/>
  <c r="G46" i="18"/>
  <c r="G37" i="18"/>
  <c r="G38" i="18"/>
  <c r="G28" i="18"/>
  <c r="E12" i="21"/>
</calcChain>
</file>

<file path=xl/sharedStrings.xml><?xml version="1.0" encoding="utf-8"?>
<sst xmlns="http://schemas.openxmlformats.org/spreadsheetml/2006/main" count="346" uniqueCount="53">
  <si>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</si>
  <si>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</si>
  <si>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</si>
  <si>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</si>
  <si>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</si>
  <si>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</si>
  <si>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</si>
  <si>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</si>
  <si>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</si>
  <si>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</si>
  <si>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</si>
  <si>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</si>
  <si>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</si>
  <si>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</si>
  <si>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</si>
  <si>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</si>
  <si>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</si>
  <si>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</si>
  <si>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</si>
  <si>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</si>
  <si>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</si>
  <si>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</si>
  <si>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</si>
  <si>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</si>
  <si>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</si>
  <si>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</si>
  <si>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Brasilien 2</t>
  </si>
  <si>
    <t>Ecuador 1</t>
  </si>
  <si>
    <t>Klub-WM</t>
  </si>
  <si>
    <t>2. Halbzeit Sieg</t>
  </si>
  <si>
    <t>Türkei 1</t>
  </si>
  <si>
    <t>Über X Tore</t>
  </si>
  <si>
    <t>Südkorea 3</t>
  </si>
  <si>
    <t>Argentinien 2</t>
  </si>
  <si>
    <t>Länderspiel U21</t>
  </si>
  <si>
    <t>Über X Tore &amp; Sieg</t>
  </si>
  <si>
    <t>HC 2</t>
  </si>
  <si>
    <t>Über X Tore 1. Halbzeit</t>
  </si>
  <si>
    <t>Japan 1</t>
  </si>
  <si>
    <t>Concaf Cup</t>
  </si>
  <si>
    <t>Torschütze</t>
  </si>
  <si>
    <t>Südkorea 1</t>
  </si>
  <si>
    <t>USA 1</t>
  </si>
  <si>
    <t>Japan 2</t>
  </si>
  <si>
    <t>Südkorea 2</t>
  </si>
  <si>
    <t>Champions League</t>
  </si>
  <si>
    <t>Deutschland 2</t>
  </si>
  <si>
    <t>HC 1</t>
  </si>
  <si>
    <t>Über X Tore &amp; Doppelte Chance</t>
  </si>
  <si>
    <t>Niederlande 1</t>
  </si>
  <si>
    <t>Irland 1</t>
  </si>
  <si>
    <t>Belgien 1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</si>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</sst>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51" totalsRowShown="0">
  <autoFilter ref="A11:G51" xr:uid="{C312ECBC-370A-48F5-9745-177D5CBECA62}"/>
  <sortState xmlns:xlrd2="http://schemas.microsoft.com/office/spreadsheetml/2017/richdata2" ref="A12:G51">
    <sortCondition ref="C11:C5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51" totalsRowShown="0">
  <autoFilter ref="A11:G51" xr:uid="{C312ECBC-370A-48F5-9745-177D5CBECA62}"/>
  <sortState xmlns:xlrd2="http://schemas.microsoft.com/office/spreadsheetml/2017/richdata2" ref="A12:G48">
    <sortCondition ref="C11:C4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51"/>
  <sheetViews>
    <sheetView showGridLines="0" tabSelected="1" zoomScaleNormal="100" workbookViewId="0">
      <pane ySplit="11" topLeftCell="A12" activePane="bottomLeft" state="frozen"/>
      <selection pane="bottomLeft" activeCell="C18" sqref="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5</v>
      </c>
      <c r="F12">
        <v>3</v>
      </c>
      <c r="G12" s="6">
        <f>ROUND(F12/E12,2)</f>
        <v>0.6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4</v>
      </c>
      <c r="F13">
        <v>2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51</v>
      </c>
      <c r="D14" s="5" t="s">
        <v>20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26</v>
      </c>
      <c r="D15" s="5" t="s">
        <v>14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45</v>
      </c>
      <c r="D16" s="5" t="s">
        <v>20</v>
      </c>
      <c r="E16">
        <v>2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39</v>
      </c>
      <c r="D17" s="5" t="s">
        <v>23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19</v>
      </c>
      <c r="D18" s="5" t="s">
        <v>20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46</v>
      </c>
      <c r="D19" s="5" t="s">
        <v>20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46</v>
      </c>
      <c r="D20" s="5" t="s">
        <v>47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46</v>
      </c>
      <c r="D21" s="5" t="s">
        <v>48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21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20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27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24</v>
      </c>
      <c r="D25" s="5" t="s">
        <v>20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25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50</v>
      </c>
      <c r="D27" s="5" t="s">
        <v>20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13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38</v>
      </c>
      <c r="D29" s="5" t="s">
        <v>14</v>
      </c>
      <c r="E29">
        <v>3</v>
      </c>
      <c r="F29">
        <v>2</v>
      </c>
      <c r="G29" s="6">
        <f>ROUND(F29/E29,2)</f>
        <v>0.67</v>
      </c>
    </row>
    <row r="30" spans="1:7" x14ac:dyDescent="0.25">
      <c r="A30" t="s">
        <v>9</v>
      </c>
      <c r="B30" t="s">
        <v>12</v>
      </c>
      <c r="C30" t="s">
        <v>43</v>
      </c>
      <c r="D30" s="5" t="s">
        <v>14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28</v>
      </c>
      <c r="D31" s="5" t="s">
        <v>29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28</v>
      </c>
      <c r="D32" s="5" t="s">
        <v>31</v>
      </c>
      <c r="E32">
        <v>3</v>
      </c>
      <c r="F32">
        <v>2</v>
      </c>
      <c r="G32" s="6">
        <f>ROUND(F32/E32,2)</f>
        <v>0.67</v>
      </c>
    </row>
    <row r="33" spans="1:7" x14ac:dyDescent="0.25">
      <c r="A33" t="s">
        <v>9</v>
      </c>
      <c r="B33" t="s">
        <v>12</v>
      </c>
      <c r="C33" t="s">
        <v>28</v>
      </c>
      <c r="D33" s="5" t="s">
        <v>36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28</v>
      </c>
      <c r="D34" s="5" t="s">
        <v>20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9</v>
      </c>
      <c r="B35" t="s">
        <v>12</v>
      </c>
      <c r="C35" t="s">
        <v>28</v>
      </c>
      <c r="D35" s="5" t="s">
        <v>37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28</v>
      </c>
      <c r="D36" s="5" t="s">
        <v>40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15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16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16</v>
      </c>
      <c r="D39" s="5" t="s">
        <v>35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34</v>
      </c>
      <c r="D40" s="5" t="s">
        <v>35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22</v>
      </c>
      <c r="D41" s="5" t="s">
        <v>23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22</v>
      </c>
      <c r="D42" s="5" t="s">
        <v>31</v>
      </c>
      <c r="E42">
        <v>2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22</v>
      </c>
      <c r="D43" s="5" t="s">
        <v>20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22</v>
      </c>
      <c r="D44" s="5" t="s">
        <v>35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49</v>
      </c>
      <c r="D45" s="5" t="s">
        <v>35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17</v>
      </c>
      <c r="D46" s="5" t="s">
        <v>14</v>
      </c>
      <c r="E46">
        <v>2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41</v>
      </c>
      <c r="D47" s="5" t="s">
        <v>14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44</v>
      </c>
      <c r="D48" s="5" t="s">
        <v>14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32</v>
      </c>
      <c r="D49" s="5" t="s">
        <v>14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9</v>
      </c>
      <c r="B50" t="s">
        <v>12</v>
      </c>
      <c r="C50" t="s">
        <v>30</v>
      </c>
      <c r="D50" s="5" t="s">
        <v>31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9</v>
      </c>
      <c r="B51" t="s">
        <v>12</v>
      </c>
      <c r="C51" t="s">
        <v>42</v>
      </c>
      <c r="D51" s="5" t="s">
        <v>20</v>
      </c>
      <c r="E51">
        <v>2</v>
      </c>
      <c r="F51">
        <v>0</v>
      </c>
      <c r="G51" s="6">
        <f>ROUND(F51/E51,2)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5</v>
      </c>
      <c r="F12">
        <v>3</v>
      </c>
      <c r="G12" s="6">
        <f>ROUND(F12/E12,2)</f>
        <v>0.6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4</v>
      </c>
      <c r="F13">
        <v>2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51</v>
      </c>
      <c r="D14" s="5" t="s">
        <v>20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26</v>
      </c>
      <c r="D15" s="5" t="s">
        <v>14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45</v>
      </c>
      <c r="D16" s="5" t="s">
        <v>20</v>
      </c>
      <c r="E16">
        <v>2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39</v>
      </c>
      <c r="D17" s="5" t="s">
        <v>23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19</v>
      </c>
      <c r="D18" s="5" t="s">
        <v>20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46</v>
      </c>
      <c r="D19" s="5" t="s">
        <v>20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46</v>
      </c>
      <c r="D20" s="5" t="s">
        <v>47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46</v>
      </c>
      <c r="D21" s="5" t="s">
        <v>48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21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20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27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24</v>
      </c>
      <c r="D25" s="5" t="s">
        <v>20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25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50</v>
      </c>
      <c r="D27" s="5" t="s">
        <v>20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13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38</v>
      </c>
      <c r="D29" s="5" t="s">
        <v>14</v>
      </c>
      <c r="E29">
        <v>3</v>
      </c>
      <c r="F29">
        <v>2</v>
      </c>
      <c r="G29" s="6">
        <f>ROUND(F29/E29,2)</f>
        <v>0.67</v>
      </c>
    </row>
    <row r="30" spans="1:7" x14ac:dyDescent="0.25">
      <c r="A30" t="s">
        <v>9</v>
      </c>
      <c r="B30" t="s">
        <v>12</v>
      </c>
      <c r="C30" t="s">
        <v>43</v>
      </c>
      <c r="D30" s="5" t="s">
        <v>14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28</v>
      </c>
      <c r="D31" s="5" t="s">
        <v>29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28</v>
      </c>
      <c r="D32" s="5" t="s">
        <v>31</v>
      </c>
      <c r="E32">
        <v>3</v>
      </c>
      <c r="F32">
        <v>2</v>
      </c>
      <c r="G32" s="6">
        <f>ROUND(F32/E32,2)</f>
        <v>0.67</v>
      </c>
    </row>
    <row r="33" spans="1:7" x14ac:dyDescent="0.25">
      <c r="A33" t="s">
        <v>9</v>
      </c>
      <c r="B33" t="s">
        <v>12</v>
      </c>
      <c r="C33" t="s">
        <v>28</v>
      </c>
      <c r="D33" s="5" t="s">
        <v>36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28</v>
      </c>
      <c r="D34" s="5" t="s">
        <v>20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9</v>
      </c>
      <c r="B35" t="s">
        <v>12</v>
      </c>
      <c r="C35" t="s">
        <v>28</v>
      </c>
      <c r="D35" s="5" t="s">
        <v>37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28</v>
      </c>
      <c r="D36" s="5" t="s">
        <v>40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15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16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16</v>
      </c>
      <c r="D39" s="5" t="s">
        <v>35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34</v>
      </c>
      <c r="D40" s="5" t="s">
        <v>35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22</v>
      </c>
      <c r="D41" s="5" t="s">
        <v>23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22</v>
      </c>
      <c r="D42" s="5" t="s">
        <v>31</v>
      </c>
      <c r="E42">
        <v>2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22</v>
      </c>
      <c r="D43" s="5" t="s">
        <v>20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22</v>
      </c>
      <c r="D44" s="5" t="s">
        <v>35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49</v>
      </c>
      <c r="D45" s="5" t="s">
        <v>35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17</v>
      </c>
      <c r="D46" s="5" t="s">
        <v>14</v>
      </c>
      <c r="E46">
        <v>2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41</v>
      </c>
      <c r="D47" s="5" t="s">
        <v>14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44</v>
      </c>
      <c r="D48" s="5" t="s">
        <v>14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32</v>
      </c>
      <c r="D49" s="5" t="s">
        <v>14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9</v>
      </c>
      <c r="B50" t="s">
        <v>12</v>
      </c>
      <c r="C50" t="s">
        <v>30</v>
      </c>
      <c r="D50" s="5" t="s">
        <v>31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9</v>
      </c>
      <c r="B51" t="s">
        <v>12</v>
      </c>
      <c r="C51" t="s">
        <v>42</v>
      </c>
      <c r="D51" s="5" t="s">
        <v>20</v>
      </c>
      <c r="E51">
        <v>2</v>
      </c>
      <c r="F51">
        <v>0</v>
      </c>
      <c r="G51" s="6">
        <f>ROUND(F51/E51,2)</f>
        <v>0</v>
      </c>
    </row>
    <row r="52" spans="1:7" x14ac:dyDescent="0.25">
      <c r="G52" s="6"/>
    </row>
    <row r="53" spans="1:7" x14ac:dyDescent="0.25">
      <c r="D53" s="5"/>
      <c r="G53" s="6"/>
    </row>
    <row r="54" spans="1:7" x14ac:dyDescent="0.25">
      <c r="D54" s="5"/>
      <c r="G54" s="6"/>
    </row>
    <row r="55" spans="1:7" x14ac:dyDescent="0.25">
      <c r="G55" s="6"/>
    </row>
    <row r="56" spans="1:7" x14ac:dyDescent="0.25">
      <c r="G56" s="6"/>
    </row>
    <row r="57" spans="1:7" x14ac:dyDescent="0.25">
      <c r="G57" s="6"/>
    </row>
    <row r="58" spans="1:7" x14ac:dyDescent="0.25">
      <c r="D58" s="5"/>
      <c r="G58" s="6"/>
    </row>
    <row r="59" spans="1:7" x14ac:dyDescent="0.25"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2025-08-19T19:46:44Z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