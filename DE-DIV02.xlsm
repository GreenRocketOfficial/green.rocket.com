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96" documentId="13_ncr:1_{32BD3745-769A-4363-92E4-3EACA8D86657}" xr6:coauthVersionLast="47" xr6:coauthVersionMax="47" xr10:uidLastSave="{2C7A0334-AC1D-4578-A73A-571ED98BBCB5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11" l="1"/>
  <c r="A7" i="11"/>
  <c r="J6" i="11"/>
  <c r="A6" i="11"/>
  <c r="J5" i="11"/>
  <c r="A5" i="11"/>
  <c r="J4" i="11"/>
  <c r="J3" i="11"/>
  <c r="A4" i="11"/>
  <c r="F18" i="12"/>
  <c r="J2" i="11"/>
  <c r="A3" i="11"/>
  <c r="F17" i="12"/>
  <c r="J23" i="12"/>
  <c r="L23" i="12" s="1"/>
  <c r="J24" i="12"/>
  <c r="L24" i="12" s="1"/>
  <c r="J22" i="12"/>
  <c r="L22" i="12" s="1"/>
  <c r="J21" i="12"/>
  <c r="L21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<sst xmlns="http://schemas.openxmlformats.org/spreadsheetml/2006/main" count="46" uniqueCount="34">
  <si>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</si>
  <si>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</si>
  <si>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</si>
  <si>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</si>
  <si>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</si>
  <si>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</si>
  <si>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</si>
  <si>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</si>
  <si>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</si>
  <si>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</si>
  <si>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</si>
  <si>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</si>
  <si>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</si>
  <si>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</si>
  <si>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</si>
  <si>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</si>
  <si>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</si>
  <si>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</si>
  <si>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</si>
  <si>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</si>
  <si>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</si>
  <si>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</si>
  <si>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</si>
  <si>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</si>
  <si>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</si>
  <si>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</si>
  <si>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</si>
  <si>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+ 0</t>
  </si>
  <si>
    <t>Spalte1</t>
  </si>
  <si>
    <t>Leiter</t>
  </si>
  <si>
    <t>+ 4</t>
  </si>
  <si>
    <t>+ 1</t>
  </si>
  <si>
    <t>+ 3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</si>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</sst>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7" totalsRowShown="0" headerRowDxfId="14" dataDxfId="13">
  <autoFilter ref="A1:I7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M15" sqref="M15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22" t="s">
        <v>22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23" t="s">
        <v>33</v>
      </c>
      <c r="H6" s="24"/>
      <c r="I6" s="24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4"/>
      <c r="H7" s="24"/>
      <c r="I7" s="24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0" t="s">
        <v>15</v>
      </c>
      <c r="B10" s="20"/>
      <c r="C10" s="20"/>
      <c r="D10" s="20"/>
      <c r="E10" s="20"/>
      <c r="F10" s="20"/>
      <c r="G10" s="20"/>
      <c r="H10" s="20"/>
      <c r="I10" s="2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7" t="s">
        <v>11</v>
      </c>
      <c r="B11" s="27"/>
      <c r="C11" s="27"/>
      <c r="D11" s="27"/>
      <c r="E11" s="27"/>
      <c r="F11" s="27">
        <f>Finanzen!L2</f>
        <v>6</v>
      </c>
      <c r="G11" s="27"/>
      <c r="H11" s="27"/>
      <c r="I11" s="2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7" t="s">
        <v>18</v>
      </c>
      <c r="B12" s="27"/>
      <c r="C12" s="27"/>
      <c r="D12" s="27"/>
      <c r="E12" s="27"/>
      <c r="F12" s="31">
        <f>Finanzen!M2</f>
        <v>1</v>
      </c>
      <c r="G12" s="31"/>
      <c r="H12" s="31"/>
      <c r="I12" s="3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7" t="s">
        <v>19</v>
      </c>
      <c r="B13" s="27"/>
      <c r="C13" s="27"/>
      <c r="D13" s="27"/>
      <c r="E13" s="27"/>
      <c r="F13" s="21">
        <f>Finanzen!N2</f>
        <v>5</v>
      </c>
      <c r="G13" s="21"/>
      <c r="H13" s="21"/>
      <c r="I13" s="2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7" t="s">
        <v>6</v>
      </c>
      <c r="B14" s="27"/>
      <c r="C14" s="27"/>
      <c r="D14" s="27"/>
      <c r="E14" s="27"/>
      <c r="F14" s="27" t="str">
        <f>TEXT(Finanzen!M2/Finanzen!L2,"0,00%")</f>
        <v>16,67%</v>
      </c>
      <c r="G14" s="27"/>
      <c r="H14" s="27"/>
      <c r="I14" s="2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0" t="s">
        <v>16</v>
      </c>
      <c r="B16" s="20"/>
      <c r="C16" s="20"/>
      <c r="D16" s="20"/>
      <c r="E16" s="20"/>
      <c r="F16" s="20"/>
      <c r="G16" s="20"/>
      <c r="H16" s="20"/>
      <c r="I16" s="2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7" t="s">
        <v>10</v>
      </c>
      <c r="B17" s="27"/>
      <c r="C17" s="27"/>
      <c r="D17" s="27"/>
      <c r="E17" s="27"/>
      <c r="F17" s="43">
        <f>SUM(Finanzen!D:D)</f>
        <v>174.29</v>
      </c>
      <c r="G17" s="43"/>
      <c r="H17" s="43"/>
      <c r="I17" s="43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7" t="s">
        <v>21</v>
      </c>
      <c r="B18" s="27"/>
      <c r="C18" s="27"/>
      <c r="D18" s="27"/>
      <c r="E18" s="27"/>
      <c r="F18" s="36">
        <f>2002 + SUM(Finanzen!J:J)</f>
        <v>1523.4</v>
      </c>
      <c r="G18" s="37"/>
      <c r="H18" s="37"/>
      <c r="I18" s="3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20" t="s">
        <v>17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8" t="s">
        <v>14</v>
      </c>
      <c r="B20" s="39"/>
      <c r="C20" s="40" t="s">
        <v>4</v>
      </c>
      <c r="D20" s="41"/>
      <c r="E20" s="42"/>
      <c r="F20" s="34" t="s">
        <v>12</v>
      </c>
      <c r="G20" s="35"/>
      <c r="H20" s="34" t="s">
        <v>20</v>
      </c>
      <c r="I20" s="35"/>
      <c r="J20" s="44" t="s">
        <v>13</v>
      </c>
      <c r="K20" s="35"/>
      <c r="L20" s="44" t="s">
        <v>5</v>
      </c>
      <c r="M20" s="35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32">
        <v>1</v>
      </c>
      <c r="B21" s="33"/>
      <c r="C21" s="28" t="s">
        <v>25</v>
      </c>
      <c r="D21" s="29"/>
      <c r="E21" s="30"/>
      <c r="F21" s="13">
        <v>9</v>
      </c>
      <c r="G21" s="12" t="s">
        <v>31</v>
      </c>
      <c r="H21" s="14">
        <v>13</v>
      </c>
      <c r="I21" s="12" t="s">
        <v>32</v>
      </c>
      <c r="J21" s="14">
        <f>F21+H21</f>
        <v>22</v>
      </c>
      <c r="K21" s="12" t="s">
        <v>32</v>
      </c>
      <c r="L21" s="25" t="str">
        <f>TEXT(F21/J21,"0,00%")</f>
        <v>40,91%</v>
      </c>
      <c r="M21" s="26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2">
        <v>2</v>
      </c>
      <c r="B22" s="33"/>
      <c r="C22" s="28" t="s">
        <v>26</v>
      </c>
      <c r="D22" s="29"/>
      <c r="E22" s="30"/>
      <c r="F22" s="13">
        <v>7</v>
      </c>
      <c r="G22" s="12" t="s">
        <v>31</v>
      </c>
      <c r="H22" s="14">
        <v>13</v>
      </c>
      <c r="I22" s="12" t="s">
        <v>32</v>
      </c>
      <c r="J22" s="14">
        <f>F22+H22</f>
        <v>20</v>
      </c>
      <c r="K22" s="12" t="s">
        <v>30</v>
      </c>
      <c r="L22" s="25" t="str">
        <f>TEXT(F22/J22,"0,00%")</f>
        <v>35,00%</v>
      </c>
      <c r="M22" s="26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32">
        <v>3</v>
      </c>
      <c r="B23" s="33"/>
      <c r="C23" s="28" t="s">
        <v>23</v>
      </c>
      <c r="D23" s="29"/>
      <c r="E23" s="30"/>
      <c r="F23" s="13">
        <v>6</v>
      </c>
      <c r="G23" s="12" t="s">
        <v>31</v>
      </c>
      <c r="H23" s="14">
        <v>10</v>
      </c>
      <c r="I23" s="12" t="s">
        <v>32</v>
      </c>
      <c r="J23" s="14">
        <f>F23+H23</f>
        <v>16</v>
      </c>
      <c r="K23" s="12" t="s">
        <v>27</v>
      </c>
      <c r="L23" s="25" t="str">
        <f>TEXT(F23/J23,"0,00%")</f>
        <v>37,50%</v>
      </c>
      <c r="M23" s="26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32">
        <v>4</v>
      </c>
      <c r="B24" s="33"/>
      <c r="C24" s="28" t="s">
        <v>24</v>
      </c>
      <c r="D24" s="29"/>
      <c r="E24" s="30"/>
      <c r="F24" s="13">
        <v>4</v>
      </c>
      <c r="G24" s="12" t="s">
        <v>31</v>
      </c>
      <c r="H24" s="14">
        <v>15</v>
      </c>
      <c r="I24" s="12" t="s">
        <v>32</v>
      </c>
      <c r="J24" s="14">
        <f>F24+H24</f>
        <v>19</v>
      </c>
      <c r="K24" s="12" t="s">
        <v>32</v>
      </c>
      <c r="L24" s="25" t="str">
        <f>TEXT(F24/J24,"0,00%")</f>
        <v>21,05%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L21:M21"/>
    <mergeCell ref="L24:M24"/>
    <mergeCell ref="F17:I17"/>
    <mergeCell ref="L20:M20"/>
    <mergeCell ref="J20:K20"/>
    <mergeCell ref="L22:M22"/>
    <mergeCell ref="A23:B23"/>
    <mergeCell ref="C24:E24"/>
    <mergeCell ref="C21:E21"/>
    <mergeCell ref="F20:G20"/>
    <mergeCell ref="F18:I18"/>
    <mergeCell ref="H20:I20"/>
    <mergeCell ref="A20:B20"/>
    <mergeCell ref="C20:E20"/>
    <mergeCell ref="A18:E18"/>
    <mergeCell ref="A21:B21"/>
    <mergeCell ref="A22:B22"/>
    <mergeCell ref="A24:B24"/>
    <mergeCell ref="C22:E22"/>
    <mergeCell ref="A10:I10"/>
    <mergeCell ref="F13:I13"/>
    <mergeCell ref="C1:M5"/>
    <mergeCell ref="G6:I7"/>
    <mergeCell ref="L23:M23"/>
    <mergeCell ref="A17:E17"/>
    <mergeCell ref="C23:E23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7"/>
  <sheetViews>
    <sheetView topLeftCell="C1" zoomScale="90" zoomScaleNormal="90" workbookViewId="0">
      <pane ySplit="1" topLeftCell="A2" activePane="bottomLeft" state="frozen"/>
      <selection pane="bottomLeft" activeCell="K12" sqref="K12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29</v>
      </c>
      <c r="J1" s="17" t="s">
        <v>28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>D2-C2-F2-E2-G2-H2-I2</f>
        <v>-100.1</v>
      </c>
      <c r="L2" s="5">
        <f>COUNTA(A:A)-1</f>
        <v>6</v>
      </c>
      <c r="M2" s="5">
        <f>COUNTIF(D:D,"&gt;0")</f>
        <v>1</v>
      </c>
      <c r="N2" s="5">
        <f>COUNTIF(D:D,"0")</f>
        <v>5</v>
      </c>
    </row>
    <row r="3" spans="1:15" ht="15.75" x14ac:dyDescent="0.25">
      <c r="A3" s="2">
        <f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19">
        <f>D3-C3-F3-E3-G3-H3-I3</f>
        <v>21.9</v>
      </c>
    </row>
    <row r="4" spans="1:15" ht="15.75" x14ac:dyDescent="0.25">
      <c r="A4" s="2">
        <f>A3+1</f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>D4-C4-F4-E4-G4-H4-I4</f>
        <v>-100.1</v>
      </c>
    </row>
    <row r="5" spans="1:15" ht="15.75" x14ac:dyDescent="0.25">
      <c r="A5" s="2">
        <f>A4+1</f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>D5-C5-F5-E5-G5-H5-I5</f>
        <v>-100.1</v>
      </c>
    </row>
    <row r="6" spans="1:15" ht="15.75" x14ac:dyDescent="0.25">
      <c r="A6" s="2">
        <f>A5+1</f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>D6-C6-F6-E6-G6-H6-I6</f>
        <v>-100.1</v>
      </c>
    </row>
    <row r="7" spans="1:15" ht="15.75" x14ac:dyDescent="0.25">
      <c r="A7" s="2">
        <f>A6+1</f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>D7-C7-F7-E7-G7-H7-I7</f>
        <v>-100.1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2025-06-17T18:40:36Z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