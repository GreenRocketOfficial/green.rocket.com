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57" documentId="13_ncr:1_{32BD3745-769A-4363-92E4-3EACA8D86657}" xr6:coauthVersionLast="47" xr6:coauthVersionMax="47" xr10:uidLastSave="{A679ACA6-09CB-4AF3-9D0D-953096887A88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F18" i="12" s="1"/>
  <c r="A15" i="11"/>
  <c r="J14" i="11"/>
  <c r="A14" i="11"/>
  <c r="J13" i="11"/>
  <c r="A13" i="11"/>
  <c r="J12" i="1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J2" i="11"/>
  <c r="A3" i="11"/>
  <c r="F17" i="12"/>
  <c r="J24" i="12"/>
  <c r="L24" i="12" s="1"/>
  <c r="J23" i="12"/>
  <c r="L23" i="12" s="1"/>
  <c r="J22" i="12"/>
  <c r="L22" i="12" s="1"/>
  <c r="J21" i="12"/>
  <c r="L21" i="12" s="1"/>
  <c r="N2" i="11"/>
  <c r="F13" i="12" s="1"/>
  <c r="M2" i="11"/>
  <c r="F12" i="12" s="1"/>
  <c r="L2" i="11"/>
  <c r="F14" i="12" l="1"/>
  <c r="F11" i="12"/>
</calcChain>
</file>

<file path=xl/sharedStrings.xml><?xml version="1.0" encoding="utf-8"?>
<sst xmlns="http://schemas.openxmlformats.org/spreadsheetml/2006/main" count="46" uniqueCount="33">
  <si>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</si>
  <si>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</si>
  <si>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</si>
  <si>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</si>
  <si>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</si>
  <si>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</si>
  <si>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</si>
  <si>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</si>
  <si>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</si>
  <si>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</si>
  <si>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</si>
  <si>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</si>
  <si>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</si>
  <si>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</si>
  <si>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</si>
  <si>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</si>
  <si>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</si>
  <si>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</si>
  <si>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</si>
  <si>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</si>
  <si>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</si>
  <si>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</si>
  <si>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</si>
  <si>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</si>
  <si>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</si>
  <si>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</si>
  <si>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</si>
  <si>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</si>
  <si>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</si>
  <si>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</si>
  <si>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+ 2</t>
  </si>
  <si>
    <t>+ 0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</si>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</sst>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right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5" totalsRowShown="0" headerRowDxfId="14" dataDxfId="13">
  <autoFilter ref="A1:I15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P14" sqref="P14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0" t="s">
        <v>22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1" t="s">
        <v>32</v>
      </c>
      <c r="H6" s="22"/>
      <c r="I6" s="22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2"/>
      <c r="H7" s="22"/>
      <c r="I7" s="22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0" t="s">
        <v>15</v>
      </c>
      <c r="B10" s="30"/>
      <c r="C10" s="30"/>
      <c r="D10" s="30"/>
      <c r="E10" s="30"/>
      <c r="F10" s="30"/>
      <c r="G10" s="30"/>
      <c r="H10" s="30"/>
      <c r="I10" s="3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5" t="s">
        <v>11</v>
      </c>
      <c r="B11" s="25"/>
      <c r="C11" s="25"/>
      <c r="D11" s="25"/>
      <c r="E11" s="25"/>
      <c r="F11" s="25">
        <f>Finanzen!L2</f>
        <v>14</v>
      </c>
      <c r="G11" s="25"/>
      <c r="H11" s="25"/>
      <c r="I11" s="2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5" t="s">
        <v>18</v>
      </c>
      <c r="B12" s="25"/>
      <c r="C12" s="25"/>
      <c r="D12" s="25"/>
      <c r="E12" s="25"/>
      <c r="F12" s="29">
        <f>Finanzen!M2</f>
        <v>2</v>
      </c>
      <c r="G12" s="29"/>
      <c r="H12" s="29"/>
      <c r="I12" s="2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5" t="s">
        <v>19</v>
      </c>
      <c r="B13" s="25"/>
      <c r="C13" s="25"/>
      <c r="D13" s="25"/>
      <c r="E13" s="25"/>
      <c r="F13" s="33">
        <f>Finanzen!N2</f>
        <v>12</v>
      </c>
      <c r="G13" s="33"/>
      <c r="H13" s="33"/>
      <c r="I13" s="3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5" t="s">
        <v>6</v>
      </c>
      <c r="B14" s="25"/>
      <c r="C14" s="25"/>
      <c r="D14" s="25"/>
      <c r="E14" s="25"/>
      <c r="F14" s="25" t="str">
        <f>TEXT(Finanzen!M2/Finanzen!L2,"0,00%")</f>
        <v>14,29%</v>
      </c>
      <c r="G14" s="25"/>
      <c r="H14" s="25"/>
      <c r="I14" s="2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0" t="s">
        <v>16</v>
      </c>
      <c r="B16" s="30"/>
      <c r="C16" s="30"/>
      <c r="D16" s="30"/>
      <c r="E16" s="30"/>
      <c r="F16" s="30"/>
      <c r="G16" s="30"/>
      <c r="H16" s="30"/>
      <c r="I16" s="3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5" t="s">
        <v>10</v>
      </c>
      <c r="B17" s="25"/>
      <c r="C17" s="25"/>
      <c r="D17" s="25"/>
      <c r="E17" s="25"/>
      <c r="F17" s="39">
        <f>SUM(Finanzen!D:D)</f>
        <v>812.07999999999993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5" t="s">
        <v>21</v>
      </c>
      <c r="B18" s="25"/>
      <c r="C18" s="25"/>
      <c r="D18" s="25"/>
      <c r="E18" s="25"/>
      <c r="F18" s="43">
        <f>2002 + SUM(Finanzen!J:J)</f>
        <v>1169.0799999999997</v>
      </c>
      <c r="G18" s="44"/>
      <c r="H18" s="44"/>
      <c r="I18" s="4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0" t="s">
        <v>17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4" t="s">
        <v>14</v>
      </c>
      <c r="B20" s="35"/>
      <c r="C20" s="36" t="s">
        <v>4</v>
      </c>
      <c r="D20" s="37"/>
      <c r="E20" s="38"/>
      <c r="F20" s="42" t="s">
        <v>12</v>
      </c>
      <c r="G20" s="41"/>
      <c r="H20" s="42" t="s">
        <v>20</v>
      </c>
      <c r="I20" s="41"/>
      <c r="J20" s="40" t="s">
        <v>13</v>
      </c>
      <c r="K20" s="41"/>
      <c r="L20" s="40" t="s">
        <v>5</v>
      </c>
      <c r="M20" s="4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1">
        <v>1</v>
      </c>
      <c r="B21" s="32"/>
      <c r="C21" s="26" t="s">
        <v>25</v>
      </c>
      <c r="D21" s="27"/>
      <c r="E21" s="28"/>
      <c r="F21" s="13">
        <v>20</v>
      </c>
      <c r="G21" s="12" t="s">
        <v>31</v>
      </c>
      <c r="H21" s="14">
        <v>32</v>
      </c>
      <c r="I21" s="12" t="s">
        <v>29</v>
      </c>
      <c r="J21" s="14">
        <f>F21+H21</f>
        <v>52</v>
      </c>
      <c r="K21" s="12" t="s">
        <v>29</v>
      </c>
      <c r="L21" s="23" t="str">
        <f>TEXT(F21/J21,"0,00%")</f>
        <v>38,46%</v>
      </c>
      <c r="M21" s="24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1">
        <v>2</v>
      </c>
      <c r="B22" s="32"/>
      <c r="C22" s="26" t="s">
        <v>26</v>
      </c>
      <c r="D22" s="27"/>
      <c r="E22" s="28"/>
      <c r="F22" s="13">
        <v>17</v>
      </c>
      <c r="G22" s="12" t="s">
        <v>30</v>
      </c>
      <c r="H22" s="14">
        <v>35</v>
      </c>
      <c r="I22" s="12" t="s">
        <v>30</v>
      </c>
      <c r="J22" s="14">
        <f>F22+H22</f>
        <v>52</v>
      </c>
      <c r="K22" s="12" t="s">
        <v>29</v>
      </c>
      <c r="L22" s="23" t="str">
        <f>TEXT(F22/J22,"0,00%")</f>
        <v>32,69%</v>
      </c>
      <c r="M22" s="24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1">
        <v>3</v>
      </c>
      <c r="B23" s="32"/>
      <c r="C23" s="26" t="s">
        <v>24</v>
      </c>
      <c r="D23" s="27"/>
      <c r="E23" s="28"/>
      <c r="F23" s="13">
        <v>14</v>
      </c>
      <c r="G23" s="12" t="s">
        <v>31</v>
      </c>
      <c r="H23" s="14">
        <v>33</v>
      </c>
      <c r="I23" s="12" t="s">
        <v>29</v>
      </c>
      <c r="J23" s="14">
        <f>F23+H23</f>
        <v>47</v>
      </c>
      <c r="K23" s="12" t="s">
        <v>29</v>
      </c>
      <c r="L23" s="23" t="str">
        <f>TEXT(F23/J23,"0,00%")</f>
        <v>29,79%</v>
      </c>
      <c r="M23" s="2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1">
        <v>4</v>
      </c>
      <c r="B24" s="32"/>
      <c r="C24" s="26" t="s">
        <v>23</v>
      </c>
      <c r="D24" s="27"/>
      <c r="E24" s="28"/>
      <c r="F24" s="13">
        <v>12</v>
      </c>
      <c r="G24" s="12" t="s">
        <v>31</v>
      </c>
      <c r="H24" s="14">
        <v>36</v>
      </c>
      <c r="I24" s="12" t="s">
        <v>29</v>
      </c>
      <c r="J24" s="14">
        <f>F24+H24</f>
        <v>48</v>
      </c>
      <c r="K24" s="12" t="s">
        <v>29</v>
      </c>
      <c r="L24" s="23" t="str">
        <f>TEXT(F24/J24,"0,00%")</f>
        <v>25,00%</v>
      </c>
      <c r="M24" s="24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1:M21"/>
    <mergeCell ref="L23:M23"/>
    <mergeCell ref="F17:I17"/>
    <mergeCell ref="L20:M20"/>
    <mergeCell ref="J20:K20"/>
    <mergeCell ref="L22:M22"/>
    <mergeCell ref="F20:G20"/>
    <mergeCell ref="F18:I18"/>
    <mergeCell ref="H20:I20"/>
    <mergeCell ref="A22:B22"/>
    <mergeCell ref="A10:I10"/>
    <mergeCell ref="F13:I13"/>
    <mergeCell ref="A24:B24"/>
    <mergeCell ref="C22:E22"/>
    <mergeCell ref="A23:B23"/>
    <mergeCell ref="C23:E23"/>
    <mergeCell ref="C21:E21"/>
    <mergeCell ref="A20:B20"/>
    <mergeCell ref="C20:E20"/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5"/>
  <sheetViews>
    <sheetView topLeftCell="C1" zoomScale="90" zoomScaleNormal="90" workbookViewId="0">
      <pane ySplit="1" topLeftCell="A2" activePane="bottomLeft" state="frozen"/>
      <selection pane="bottomLeft" activeCell="J19" sqref="J1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5" si="0">D2-C2-F2-E2-G2-H2-I2</f>
        <v>-100.1</v>
      </c>
      <c r="L2" s="5">
        <f>COUNTA(A:A)-1</f>
        <v>14</v>
      </c>
      <c r="M2" s="5">
        <f>COUNTIF(D:D,"&gt;0")</f>
        <v>2</v>
      </c>
      <c r="N2" s="5">
        <f>COUNTIF(D:D,"0")</f>
        <v>12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 t="shared" ref="A9:A14" si="2"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ht="15.75" x14ac:dyDescent="0.25">
      <c r="A10" s="2">
        <f t="shared" si="2"/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 t="shared" si="2"/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 t="shared" si="2"/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  <row r="13" spans="1:15" ht="15.75" x14ac:dyDescent="0.25">
      <c r="A13" s="2">
        <f t="shared" si="2"/>
        <v>12</v>
      </c>
      <c r="B13" s="3">
        <v>45863</v>
      </c>
      <c r="C13" s="4">
        <v>100.1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19">
        <f t="shared" si="0"/>
        <v>-100.1</v>
      </c>
    </row>
    <row r="14" spans="1:15" ht="15.75" x14ac:dyDescent="0.25">
      <c r="A14" s="2">
        <f t="shared" si="2"/>
        <v>13</v>
      </c>
      <c r="B14" s="3">
        <v>45870</v>
      </c>
      <c r="C14" s="4">
        <v>100.1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19">
        <f t="shared" si="0"/>
        <v>-100.1</v>
      </c>
    </row>
    <row r="15" spans="1:15" ht="15.75" x14ac:dyDescent="0.25">
      <c r="A15" s="2">
        <f>A14+1</f>
        <v>14</v>
      </c>
      <c r="B15" s="3">
        <v>45877</v>
      </c>
      <c r="C15" s="4">
        <v>100.1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2025-08-12T19:08:59Z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