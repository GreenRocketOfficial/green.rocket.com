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07" documentId="13_ncr:1_{32BD3745-769A-4363-92E4-3EACA8D86657}" xr6:coauthVersionLast="47" xr6:coauthVersionMax="47" xr10:uidLastSave="{D0A1EE5B-B898-4983-B9F0-2CB724461DED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1" l="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4" i="12"/>
  <c r="L24" i="12" s="1"/>
  <c r="J23" i="12"/>
  <c r="L23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<sst xmlns="http://schemas.openxmlformats.org/spreadsheetml/2006/main" count="46" uniqueCount="33">
  <si>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</si>
  <si>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</si>
  <si>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</si>
  <si>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</si>
  <si>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</si>
  <si>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</si>
  <si>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</si>
  <si>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</si>
  <si>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</si>
  <si>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</si>
  <si>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</si>
  <si>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</si>
  <si>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</si>
  <si>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</si>
  <si>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</si>
  <si>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</si>
  <si>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</si>
  <si>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</si>
  <si>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</si>
  <si>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</si>
  <si>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</si>
  <si>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</si>
  <si>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</si>
  <si>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</si>
  <si>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</si>
  <si>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</si>
  <si>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</si>
  <si>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</si>
  <si>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</si>
  <si>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</si>
  <si>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+ 1</t>
  </si>
  <si>
    <t>+ 3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</si>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</sst>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0" totalsRowShown="0" headerRowDxfId="14" dataDxfId="13">
  <autoFilter ref="A1:I10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Q18" sqref="Q18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22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32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9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44">
        <f>Finanzen!M2</f>
        <v>2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40">
        <f>Finanzen!N2</f>
        <v>7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22,22%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22">
        <f>SUM(Finanzen!D:D)</f>
        <v>812.07999999999993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1">
        <f>2002 + SUM(Finanzen!J:J)</f>
        <v>1669.58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3" t="s">
        <v>14</v>
      </c>
      <c r="B20" s="34"/>
      <c r="C20" s="35" t="s">
        <v>4</v>
      </c>
      <c r="D20" s="36"/>
      <c r="E20" s="37"/>
      <c r="F20" s="30" t="s">
        <v>12</v>
      </c>
      <c r="G20" s="24"/>
      <c r="H20" s="30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25</v>
      </c>
      <c r="D21" s="28"/>
      <c r="E21" s="29"/>
      <c r="F21" s="13">
        <v>16</v>
      </c>
      <c r="G21" s="12" t="s">
        <v>30</v>
      </c>
      <c r="H21" s="14">
        <v>17</v>
      </c>
      <c r="I21" s="12" t="s">
        <v>31</v>
      </c>
      <c r="J21" s="14">
        <f>F21+H21</f>
        <v>33</v>
      </c>
      <c r="K21" s="12" t="s">
        <v>29</v>
      </c>
      <c r="L21" s="20" t="str">
        <f>TEXT(F21/J21,"0,00%")</f>
        <v>48,48%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26</v>
      </c>
      <c r="D22" s="28"/>
      <c r="E22" s="29"/>
      <c r="F22" s="13">
        <v>12</v>
      </c>
      <c r="G22" s="12" t="s">
        <v>30</v>
      </c>
      <c r="H22" s="14">
        <v>20</v>
      </c>
      <c r="I22" s="12" t="s">
        <v>31</v>
      </c>
      <c r="J22" s="14">
        <f>F22+H22</f>
        <v>32</v>
      </c>
      <c r="K22" s="12" t="s">
        <v>29</v>
      </c>
      <c r="L22" s="20" t="str">
        <f>TEXT(F22/J22,"0,00%")</f>
        <v>37,50%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27" t="s">
        <v>24</v>
      </c>
      <c r="D23" s="28"/>
      <c r="E23" s="29"/>
      <c r="F23" s="13">
        <v>11</v>
      </c>
      <c r="G23" s="12" t="s">
        <v>31</v>
      </c>
      <c r="H23" s="14">
        <v>20</v>
      </c>
      <c r="I23" s="12" t="s">
        <v>30</v>
      </c>
      <c r="J23" s="14">
        <f>F23+H23</f>
        <v>31</v>
      </c>
      <c r="K23" s="12" t="s">
        <v>29</v>
      </c>
      <c r="L23" s="20" t="str">
        <f>TEXT(F23/J23,"0,00%")</f>
        <v>35,48%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4</v>
      </c>
      <c r="B24" s="26"/>
      <c r="C24" s="27" t="s">
        <v>23</v>
      </c>
      <c r="D24" s="28"/>
      <c r="E24" s="29"/>
      <c r="F24" s="13">
        <v>9</v>
      </c>
      <c r="G24" s="12" t="s">
        <v>30</v>
      </c>
      <c r="H24" s="14">
        <v>19</v>
      </c>
      <c r="I24" s="12" t="s">
        <v>31</v>
      </c>
      <c r="J24" s="14">
        <f>F24+H24</f>
        <v>28</v>
      </c>
      <c r="K24" s="12" t="s">
        <v>29</v>
      </c>
      <c r="L24" s="20" t="str">
        <f>TEXT(F24/J24,"0,00%")</f>
        <v>32,14%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3:E23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2:E22"/>
    <mergeCell ref="L21:M21"/>
    <mergeCell ref="L23:M23"/>
    <mergeCell ref="F17:I17"/>
    <mergeCell ref="L20:M20"/>
    <mergeCell ref="J20:K20"/>
    <mergeCell ref="L22:M22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A17" sqref="A17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0" si="0">D2-C2-F2-E2-G2-H2-I2</f>
        <v>-100.1</v>
      </c>
      <c r="L2" s="5">
        <f>COUNTA(A:A)-1</f>
        <v>9</v>
      </c>
      <c r="M2" s="5">
        <f>COUNTIF(D:D,"&gt;0")</f>
        <v>2</v>
      </c>
      <c r="N2" s="5">
        <f>COUNTIF(D:D,"0")</f>
        <v>7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2025-07-09T17:43:12Z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