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533" documentId="13_ncr:1_{32BD3745-769A-4363-92E4-3EACA8D86657}" xr6:coauthVersionLast="47" xr6:coauthVersionMax="47" xr10:uidLastSave="{3CEB8DB1-4944-428E-8EE4-2A2476EA4904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11" l="1"/>
  <c r="A8" i="11"/>
  <c r="J7" i="11"/>
  <c r="A7" i="11"/>
  <c r="J6" i="11"/>
  <c r="A6" i="11"/>
  <c r="J5" i="11"/>
  <c r="A5" i="11"/>
  <c r="J4" i="11"/>
  <c r="J3" i="11"/>
  <c r="A4" i="11"/>
  <c r="F18" i="12"/>
  <c r="J2" i="11"/>
  <c r="A3" i="11"/>
  <c r="F17" i="12"/>
  <c r="J23" i="12"/>
  <c r="L23" i="12" s="1"/>
  <c r="J24" i="12"/>
  <c r="L24" i="12" s="1"/>
  <c r="J22" i="12"/>
  <c r="L22" i="12" s="1"/>
  <c r="J21" i="12"/>
  <c r="L21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<sst xmlns="http://schemas.openxmlformats.org/spreadsheetml/2006/main" count="46" uniqueCount="35">
  <si>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</si>
  <si>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</si>
  <si>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</si>
  <si>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</si>
  <si>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</si>
  <si>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</si>
  <si>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</si>
  <si>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</si>
  <si>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</si>
  <si>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</si>
  <si>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</si>
  <si>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</si>
  <si>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</si>
  <si>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</si>
  <si>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</si>
  <si>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</si>
  <si>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</si>
  <si>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</si>
  <si>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</si>
  <si>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</si>
  <si>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</si>
  <si>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</si>
  <si>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</si>
  <si>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</si>
  <si>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</si>
  <si>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</si>
  <si>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</si>
  <si>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+ 0</t>
  </si>
  <si>
    <t>Spalte1</t>
  </si>
  <si>
    <t>Leiter</t>
  </si>
  <si>
    <t>+ 4</t>
  </si>
  <si>
    <t>+ 1</t>
  </si>
  <si>
    <t>+ 3</t>
  </si>
  <si>
    <t>+ 2</t>
  </si>
  <si>
    <t>Stand: 26.06.2025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</si>
</sst>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8" totalsRowShown="0" headerRowDxfId="14" dataDxfId="13">
  <autoFilter ref="A1:I8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K13" sqref="K13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1" t="s">
        <v>22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2" t="s">
        <v>34</v>
      </c>
      <c r="H6" s="43"/>
      <c r="I6" s="43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3"/>
      <c r="H7" s="43"/>
      <c r="I7" s="43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8" t="s">
        <v>11</v>
      </c>
      <c r="B11" s="38"/>
      <c r="C11" s="38"/>
      <c r="D11" s="38"/>
      <c r="E11" s="38"/>
      <c r="F11" s="38">
        <f>Finanzen!L2</f>
        <v>7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8" t="s">
        <v>18</v>
      </c>
      <c r="B12" s="38"/>
      <c r="C12" s="38"/>
      <c r="D12" s="38"/>
      <c r="E12" s="38"/>
      <c r="F12" s="44">
        <f>Finanzen!M2</f>
        <v>1</v>
      </c>
      <c r="G12" s="44"/>
      <c r="H12" s="44"/>
      <c r="I12" s="44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8" t="s">
        <v>19</v>
      </c>
      <c r="B13" s="38"/>
      <c r="C13" s="38"/>
      <c r="D13" s="38"/>
      <c r="E13" s="38"/>
      <c r="F13" s="40">
        <f>Finanzen!N2</f>
        <v>6</v>
      </c>
      <c r="G13" s="40"/>
      <c r="H13" s="40"/>
      <c r="I13" s="4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8" t="s">
        <v>6</v>
      </c>
      <c r="B14" s="38"/>
      <c r="C14" s="38"/>
      <c r="D14" s="38"/>
      <c r="E14" s="38"/>
      <c r="F14" s="38" t="str">
        <f>TEXT(Finanzen!M2/Finanzen!L2,"0,00%")</f>
        <v>14,29%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8" t="s">
        <v>10</v>
      </c>
      <c r="B17" s="38"/>
      <c r="C17" s="38"/>
      <c r="D17" s="38"/>
      <c r="E17" s="38"/>
      <c r="F17" s="22">
        <f>SUM(Finanzen!D:D)</f>
        <v>174.29</v>
      </c>
      <c r="G17" s="22"/>
      <c r="H17" s="22"/>
      <c r="I17" s="2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8" t="s">
        <v>21</v>
      </c>
      <c r="B18" s="38"/>
      <c r="C18" s="38"/>
      <c r="D18" s="38"/>
      <c r="E18" s="38"/>
      <c r="F18" s="31">
        <f>2002 + SUM(Finanzen!J:J)</f>
        <v>1423.3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3" t="s">
        <v>14</v>
      </c>
      <c r="B20" s="34"/>
      <c r="C20" s="35" t="s">
        <v>4</v>
      </c>
      <c r="D20" s="36"/>
      <c r="E20" s="37"/>
      <c r="F20" s="30" t="s">
        <v>12</v>
      </c>
      <c r="G20" s="24"/>
      <c r="H20" s="30" t="s">
        <v>20</v>
      </c>
      <c r="I20" s="24"/>
      <c r="J20" s="23" t="s">
        <v>13</v>
      </c>
      <c r="K20" s="24"/>
      <c r="L20" s="23" t="s">
        <v>5</v>
      </c>
      <c r="M20" s="24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5">
        <v>1</v>
      </c>
      <c r="B21" s="26"/>
      <c r="C21" s="27" t="s">
        <v>25</v>
      </c>
      <c r="D21" s="28"/>
      <c r="E21" s="29"/>
      <c r="F21" s="13">
        <v>11</v>
      </c>
      <c r="G21" s="12" t="s">
        <v>33</v>
      </c>
      <c r="H21" s="14">
        <v>14</v>
      </c>
      <c r="I21" s="12" t="s">
        <v>31</v>
      </c>
      <c r="J21" s="14">
        <f>F21+H21</f>
        <v>25</v>
      </c>
      <c r="K21" s="12" t="s">
        <v>32</v>
      </c>
      <c r="L21" s="20" t="str">
        <f>TEXT(F21/J21,"0,00%")</f>
        <v>44,00%</v>
      </c>
      <c r="M21" s="21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5">
        <v>2</v>
      </c>
      <c r="B22" s="26"/>
      <c r="C22" s="27" t="s">
        <v>26</v>
      </c>
      <c r="D22" s="28"/>
      <c r="E22" s="29"/>
      <c r="F22" s="13">
        <v>9</v>
      </c>
      <c r="G22" s="12" t="s">
        <v>33</v>
      </c>
      <c r="H22" s="14">
        <v>15</v>
      </c>
      <c r="I22" s="12" t="s">
        <v>33</v>
      </c>
      <c r="J22" s="14">
        <f>F22+H22</f>
        <v>24</v>
      </c>
      <c r="K22" s="12" t="s">
        <v>30</v>
      </c>
      <c r="L22" s="20" t="str">
        <f>TEXT(F22/J22,"0,00%")</f>
        <v>37,50%</v>
      </c>
      <c r="M22" s="21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5">
        <v>3</v>
      </c>
      <c r="B23" s="26"/>
      <c r="C23" s="27" t="s">
        <v>23</v>
      </c>
      <c r="D23" s="28"/>
      <c r="E23" s="29"/>
      <c r="F23" s="13">
        <v>6</v>
      </c>
      <c r="G23" s="12" t="s">
        <v>27</v>
      </c>
      <c r="H23" s="14">
        <v>14</v>
      </c>
      <c r="I23" s="12" t="s">
        <v>30</v>
      </c>
      <c r="J23" s="14">
        <f>F23+H23</f>
        <v>20</v>
      </c>
      <c r="K23" s="12" t="s">
        <v>30</v>
      </c>
      <c r="L23" s="20" t="str">
        <f>TEXT(F23/J23,"0,00%")</f>
        <v>30,00%</v>
      </c>
      <c r="M23" s="21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5">
        <v>4</v>
      </c>
      <c r="B24" s="26"/>
      <c r="C24" s="27" t="s">
        <v>24</v>
      </c>
      <c r="D24" s="28"/>
      <c r="E24" s="29"/>
      <c r="F24" s="13">
        <v>5</v>
      </c>
      <c r="G24" s="12" t="s">
        <v>31</v>
      </c>
      <c r="H24" s="14">
        <v>18</v>
      </c>
      <c r="I24" s="12" t="s">
        <v>32</v>
      </c>
      <c r="J24" s="14">
        <f>F24+H24</f>
        <v>23</v>
      </c>
      <c r="K24" s="12" t="s">
        <v>30</v>
      </c>
      <c r="L24" s="20" t="str">
        <f>TEXT(F24/J24,"0,00%")</f>
        <v>21,74%</v>
      </c>
      <c r="M24" s="21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L23:M23"/>
    <mergeCell ref="A17:E17"/>
    <mergeCell ref="C23:E23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23:B23"/>
    <mergeCell ref="C24:E24"/>
    <mergeCell ref="C21:E21"/>
    <mergeCell ref="F20:G20"/>
    <mergeCell ref="F18:I18"/>
    <mergeCell ref="H20:I20"/>
    <mergeCell ref="A20:B20"/>
    <mergeCell ref="C20:E20"/>
    <mergeCell ref="A18:E18"/>
    <mergeCell ref="A21:B21"/>
    <mergeCell ref="A22:B22"/>
    <mergeCell ref="A24:B24"/>
    <mergeCell ref="C22:E22"/>
    <mergeCell ref="L21:M21"/>
    <mergeCell ref="L24:M24"/>
    <mergeCell ref="F17:I17"/>
    <mergeCell ref="L20:M20"/>
    <mergeCell ref="J20:K20"/>
    <mergeCell ref="L22:M22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8"/>
  <sheetViews>
    <sheetView topLeftCell="B1" zoomScale="90" zoomScaleNormal="90" workbookViewId="0">
      <pane ySplit="1" topLeftCell="A2" activePane="bottomLeft" state="frozen"/>
      <selection pane="bottomLeft" activeCell="J12" sqref="J12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29</v>
      </c>
      <c r="J1" s="17" t="s">
        <v>28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:J8" si="0">D2-C2-F2-E2-G2-H2-I2</f>
        <v>-100.1</v>
      </c>
      <c r="L2" s="5">
        <f>COUNTA(A:A)-1</f>
        <v>7</v>
      </c>
      <c r="M2" s="5">
        <f>COUNTIF(D:D,"&gt;0")</f>
        <v>1</v>
      </c>
      <c r="N2" s="5">
        <f>COUNTIF(D:D,"0")</f>
        <v>6</v>
      </c>
    </row>
    <row r="3" spans="1:15" ht="15.75" x14ac:dyDescent="0.25">
      <c r="A3" s="2">
        <f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19">
        <f t="shared" si="0"/>
        <v>21.9</v>
      </c>
    </row>
    <row r="4" spans="1:15" ht="15.75" x14ac:dyDescent="0.25">
      <c r="A4" s="2">
        <f>A3+1</f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>A4+1</f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>A5+1</f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>A6+1</f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>A7+1</f>
        <v>7</v>
      </c>
      <c r="B8" s="3">
        <v>45828</v>
      </c>
      <c r="C8" s="4">
        <v>100.1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19">
        <f t="shared" si="0"/>
        <v>-100.1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2025-06-26T17:09:40Z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