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5" documentId="13_ncr:1_{32BD3745-769A-4363-92E4-3EACA8D86657}" xr6:coauthVersionLast="47" xr6:coauthVersionMax="47" xr10:uidLastSave="{FDB20BE4-EC5F-4CD6-BA8B-E3F0AD7337F5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definedNames>
    <definedName name="_xlnm._FilterDatabase" localSheetId="1" hidden="1">Finanzen!$J$1:$J$2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11" l="1"/>
  <c r="J3" i="11"/>
  <c r="A4" i="11"/>
  <c r="F18" i="12"/>
  <c r="J2" i="11"/>
  <c r="A3" i="11"/>
  <c r="F17" i="12"/>
  <c r="J22" i="12"/>
  <c r="L22" i="12" s="1"/>
  <c r="J24" i="12"/>
  <c r="L24" i="12" s="1"/>
  <c r="J23" i="12"/>
  <c r="L23" i="12" s="1"/>
  <c r="J21" i="12"/>
  <c r="L21" i="12" s="1"/>
  <c r="N2" i="11" l="1"/>
  <c r="F13" i="12" s="1"/>
  <c r="M2" i="11"/>
  <c r="F12" i="12" s="1"/>
  <c r="L2" i="11" l="1"/>
  <c r="F14" i="12" s="1"/>
  <c r="F11" i="12" l="1"/>
</calcChain>
</file>

<file path=xl/sharedStrings.xml><?xml version="1.0" encoding="utf-8"?>
<sst xmlns="http://schemas.openxmlformats.org/spreadsheetml/2006/main" count="46" uniqueCount="35">
  <si>
    <t>Datum</t>
  </si>
  <si>
    <t>Schein</t>
  </si>
  <si>
    <t>Einsatz</t>
  </si>
  <si>
    <t>Gewinn</t>
  </si>
  <si>
    <t>Mitarbeiter</t>
  </si>
  <si>
    <t>Quote</t>
  </si>
  <si>
    <t>Gewinnquote:</t>
  </si>
  <si>
    <t>Anzahl</t>
  </si>
  <si>
    <t>Gewonnen</t>
  </si>
  <si>
    <t>Verloren</t>
  </si>
  <si>
    <t>Umsatz: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</si>
  <si>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</si>
  <si>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</si>
  <si>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</si>
  <si>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</si>
  <si>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</si>
  <si>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</si>
  <si>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</si>
  <si>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</si>
  <si>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</si>
  <si>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falsch</t>
  </si>
  <si>
    <t>Geldpool:</t>
  </si>
  <si>
    <t>Statistik Division 2</t>
  </si>
  <si>
    <t>DE005</t>
  </si>
  <si>
    <t>DE006</t>
  </si>
  <si>
    <t>DE007</t>
  </si>
  <si>
    <t>DE008</t>
  </si>
  <si>
    <t>+ 0</t>
  </si>
  <si>
    <t>Spalte1</t>
  </si>
  <si>
    <t>Leiter</t>
  </si>
  <si>
    <t>+ 4</t>
  </si>
  <si>
    <t>+ 2</t>
  </si>
  <si>
    <t>+ 1</t>
  </si>
  <si>
    <t>+ 3</t>
  </si>
  <si>
    <t>Stand: 27.05.2025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</si>
</sst>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5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59999389629810485"/>
        <bgColor theme="9" tint="0.5999938962981048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13" fillId="4" borderId="16" xfId="0" applyFont="1" applyFill="1" applyBorder="1"/>
    <xf numFmtId="8" fontId="4" fillId="5" borderId="17" xfId="0" applyNumberFormat="1" applyFont="1" applyFill="1" applyBorder="1"/>
    <xf numFmtId="8" fontId="0" fillId="0" borderId="0" xfId="0" applyNumberFormat="1"/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44" fontId="10" fillId="3" borderId="0" xfId="1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10" fillId="3" borderId="8" xfId="0" quotePrefix="1" applyFont="1" applyFill="1" applyBorder="1" applyAlignment="1">
      <alignment horizontal="center"/>
    </xf>
    <xf numFmtId="8" fontId="10" fillId="3" borderId="0" xfId="1" applyNumberFormat="1" applyFont="1" applyFill="1" applyBorder="1" applyAlignment="1">
      <alignment horizontal="right"/>
    </xf>
    <xf numFmtId="44" fontId="10" fillId="3" borderId="0" xfId="1" applyFont="1" applyFill="1" applyBorder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right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I4" totalsRowShown="0" headerRowDxfId="14" dataDxfId="13">
  <autoFilter ref="A1:I4" xr:uid="{88D03EAD-FCD1-41E9-9F29-AD875E11F573}"/>
  <tableColumns count="9">
    <tableColumn id="1" xr3:uid="{A3BD6718-E357-48A5-BF52-93E1862EA006}" name="Schein" dataDxfId="12">
      <calculatedColumnFormula>A1+1</calculatedColumnFormula>
    </tableColumn>
    <tableColumn id="2" xr3:uid="{AAC5DE87-86DB-49A9-B08E-17847DCCB29D}" name="Datum" dataDxfId="11"/>
    <tableColumn id="3" xr3:uid="{5EDCD2AF-46FF-4983-B496-F15DA7A71693}" name="Einsatz" dataDxfId="10"/>
    <tableColumn id="4" xr3:uid="{8B5073FD-5EB5-4C76-AEB5-C4FC4244985D}" name="Gewinn" dataDxfId="9"/>
    <tableColumn id="6" xr3:uid="{0CC11F64-2722-43BD-96D8-11D3926704EB}" name="DE005" dataDxfId="8"/>
    <tableColumn id="7" xr3:uid="{5E213DFF-7615-48CF-8944-4C071C187C55}" name="DE006" dataDxfId="7"/>
    <tableColumn id="8" xr3:uid="{265603BC-E9E1-462B-9A6D-C0F306480253}" name="DE007" dataDxfId="6"/>
    <tableColumn id="9" xr3:uid="{8305AF6F-BFE9-4D5B-8B01-3CF39FA2D0B3}" name="DE008" dataDxfId="5"/>
    <tableColumn id="10" xr3:uid="{C69C42F8-942E-4D0C-ADEC-2A260C5FF4AA}" name="Leiter" dataDxfId="4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L1:N2" totalsRowShown="0" dataDxfId="3">
  <autoFilter ref="L1:N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98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T21" sqref="T21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51" t="s">
        <v>22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52" t="s">
        <v>34</v>
      </c>
      <c r="H6" s="53"/>
      <c r="I6" s="53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53"/>
      <c r="H7" s="53"/>
      <c r="I7" s="53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49" t="s">
        <v>15</v>
      </c>
      <c r="B10" s="49"/>
      <c r="C10" s="49"/>
      <c r="D10" s="49"/>
      <c r="E10" s="49"/>
      <c r="F10" s="49"/>
      <c r="G10" s="49"/>
      <c r="H10" s="49"/>
      <c r="I10" s="49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44" t="s">
        <v>11</v>
      </c>
      <c r="B11" s="44"/>
      <c r="C11" s="44"/>
      <c r="D11" s="44"/>
      <c r="E11" s="44"/>
      <c r="F11" s="44">
        <f>Finanzen!L2</f>
        <v>3</v>
      </c>
      <c r="G11" s="44"/>
      <c r="H11" s="44"/>
      <c r="I11" s="44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44" t="s">
        <v>18</v>
      </c>
      <c r="B12" s="44"/>
      <c r="C12" s="44"/>
      <c r="D12" s="44"/>
      <c r="E12" s="44"/>
      <c r="F12" s="54">
        <f>Finanzen!M2</f>
        <v>1</v>
      </c>
      <c r="G12" s="54"/>
      <c r="H12" s="54"/>
      <c r="I12" s="54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44" t="s">
        <v>19</v>
      </c>
      <c r="B13" s="44"/>
      <c r="C13" s="44"/>
      <c r="D13" s="44"/>
      <c r="E13" s="44"/>
      <c r="F13" s="50">
        <f>Finanzen!N2</f>
        <v>2</v>
      </c>
      <c r="G13" s="50"/>
      <c r="H13" s="50"/>
      <c r="I13" s="50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44" t="s">
        <v>6</v>
      </c>
      <c r="B14" s="44"/>
      <c r="C14" s="44"/>
      <c r="D14" s="44"/>
      <c r="E14" s="44"/>
      <c r="F14" s="44" t="str">
        <f>TEXT(Finanzen!M2/Finanzen!L2,"0,00%")</f>
        <v>33,33%</v>
      </c>
      <c r="G14" s="44"/>
      <c r="H14" s="44"/>
      <c r="I14" s="44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49" t="s">
        <v>16</v>
      </c>
      <c r="B16" s="49"/>
      <c r="C16" s="49"/>
      <c r="D16" s="49"/>
      <c r="E16" s="49"/>
      <c r="F16" s="49"/>
      <c r="G16" s="49"/>
      <c r="H16" s="49"/>
      <c r="I16" s="49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44" t="s">
        <v>10</v>
      </c>
      <c r="B17" s="44"/>
      <c r="C17" s="44"/>
      <c r="D17" s="44"/>
      <c r="E17" s="44"/>
      <c r="F17" s="28">
        <f>SUM(Finanzen!D:D)</f>
        <v>174.29</v>
      </c>
      <c r="G17" s="28"/>
      <c r="H17" s="28"/>
      <c r="I17" s="28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44" t="s">
        <v>21</v>
      </c>
      <c r="B18" s="44"/>
      <c r="C18" s="44"/>
      <c r="D18" s="44"/>
      <c r="E18" s="44"/>
      <c r="F18" s="37">
        <f>2002 + SUM(Finanzen!J:J)</f>
        <v>1823.7</v>
      </c>
      <c r="G18" s="38"/>
      <c r="H18" s="38"/>
      <c r="I18" s="38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</row>
    <row r="19" spans="1:66" ht="47.25" thickBot="1" x14ac:dyDescent="0.3">
      <c r="A19" s="49" t="s">
        <v>17</v>
      </c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7"/>
      <c r="Q19" s="7"/>
      <c r="R19" s="7"/>
      <c r="S19" s="7"/>
      <c r="T19" s="7"/>
      <c r="U19" s="7"/>
      <c r="V19" s="7"/>
      <c r="W19" s="7"/>
      <c r="X19" s="7"/>
    </row>
    <row r="20" spans="1:66" ht="46.5" x14ac:dyDescent="0.7">
      <c r="A20" s="39" t="s">
        <v>14</v>
      </c>
      <c r="B20" s="40"/>
      <c r="C20" s="41" t="s">
        <v>4</v>
      </c>
      <c r="D20" s="42"/>
      <c r="E20" s="43"/>
      <c r="F20" s="36" t="s">
        <v>12</v>
      </c>
      <c r="G20" s="30"/>
      <c r="H20" s="36" t="s">
        <v>20</v>
      </c>
      <c r="I20" s="30"/>
      <c r="J20" s="29" t="s">
        <v>13</v>
      </c>
      <c r="K20" s="30"/>
      <c r="L20" s="29" t="s">
        <v>5</v>
      </c>
      <c r="M20" s="30"/>
      <c r="N20" s="7"/>
      <c r="O20" s="7"/>
      <c r="P20" s="7"/>
      <c r="Q20" s="7"/>
      <c r="R20" s="7"/>
      <c r="S20" s="7"/>
      <c r="T20" s="7"/>
      <c r="U20" s="7"/>
      <c r="V20" s="7"/>
    </row>
    <row r="21" spans="1:66" ht="46.5" x14ac:dyDescent="0.7">
      <c r="A21" s="31">
        <v>1</v>
      </c>
      <c r="B21" s="32"/>
      <c r="C21" s="33" t="s">
        <v>25</v>
      </c>
      <c r="D21" s="34"/>
      <c r="E21" s="35"/>
      <c r="F21" s="14">
        <v>5</v>
      </c>
      <c r="G21" s="12" t="s">
        <v>32</v>
      </c>
      <c r="H21" s="16">
        <v>6</v>
      </c>
      <c r="I21" s="12" t="s">
        <v>33</v>
      </c>
      <c r="J21" s="16">
        <f>F21+H21</f>
        <v>11</v>
      </c>
      <c r="K21" s="12" t="s">
        <v>30</v>
      </c>
      <c r="L21" s="26" t="str">
        <f>TEXT(F21/J21,"0,00%")</f>
        <v>45,45%</v>
      </c>
      <c r="M21" s="27"/>
      <c r="N21" s="7"/>
      <c r="O21" s="7"/>
      <c r="P21" s="7"/>
      <c r="Q21" s="7"/>
      <c r="R21" s="7"/>
      <c r="S21" s="7"/>
      <c r="T21" s="7"/>
      <c r="U21" s="7"/>
      <c r="V21" s="7"/>
    </row>
    <row r="22" spans="1:66" ht="46.5" x14ac:dyDescent="0.7">
      <c r="A22" s="31">
        <v>2</v>
      </c>
      <c r="B22" s="32"/>
      <c r="C22" s="33" t="s">
        <v>23</v>
      </c>
      <c r="D22" s="34"/>
      <c r="E22" s="35"/>
      <c r="F22" s="14">
        <v>5</v>
      </c>
      <c r="G22" s="12" t="s">
        <v>31</v>
      </c>
      <c r="H22" s="16">
        <v>7</v>
      </c>
      <c r="I22" s="12" t="s">
        <v>31</v>
      </c>
      <c r="J22" s="16">
        <f>F22+H22</f>
        <v>12</v>
      </c>
      <c r="K22" s="12" t="s">
        <v>30</v>
      </c>
      <c r="L22" s="26" t="str">
        <f>TEXT(F22/J22,"0,00%")</f>
        <v>41,67%</v>
      </c>
      <c r="M22" s="27"/>
      <c r="N22" s="7"/>
      <c r="O22" s="7"/>
      <c r="P22" s="7"/>
      <c r="Q22" s="7"/>
      <c r="R22" s="7"/>
      <c r="S22" s="7"/>
      <c r="T22" s="7"/>
      <c r="U22" s="7"/>
      <c r="V22" s="7"/>
    </row>
    <row r="23" spans="1:66" ht="47.25" thickBot="1" x14ac:dyDescent="0.75">
      <c r="A23" s="31">
        <v>3</v>
      </c>
      <c r="B23" s="32"/>
      <c r="C23" s="23" t="s">
        <v>26</v>
      </c>
      <c r="D23" s="24"/>
      <c r="E23" s="25"/>
      <c r="F23" s="15">
        <v>4</v>
      </c>
      <c r="G23" s="13" t="s">
        <v>32</v>
      </c>
      <c r="H23" s="17">
        <v>8</v>
      </c>
      <c r="I23" s="13" t="s">
        <v>33</v>
      </c>
      <c r="J23" s="17">
        <f>F23+H23</f>
        <v>12</v>
      </c>
      <c r="K23" s="13" t="s">
        <v>30</v>
      </c>
      <c r="L23" s="45" t="str">
        <f>TEXT(F23/J23,"0,00%")</f>
        <v>33,33%</v>
      </c>
      <c r="M23" s="46"/>
      <c r="N23" s="7"/>
      <c r="O23" s="7"/>
      <c r="P23" s="7"/>
      <c r="Q23" s="7"/>
      <c r="R23" s="7"/>
      <c r="S23" s="7"/>
      <c r="T23" s="7"/>
      <c r="U23" s="7"/>
      <c r="V23" s="7"/>
    </row>
    <row r="24" spans="1:66" ht="47.25" thickBot="1" x14ac:dyDescent="0.75">
      <c r="A24" s="47">
        <v>4</v>
      </c>
      <c r="B24" s="48"/>
      <c r="C24" s="33" t="s">
        <v>24</v>
      </c>
      <c r="D24" s="34"/>
      <c r="E24" s="35"/>
      <c r="F24" s="14">
        <v>2</v>
      </c>
      <c r="G24" s="12" t="s">
        <v>27</v>
      </c>
      <c r="H24" s="16">
        <v>6</v>
      </c>
      <c r="I24" s="12" t="s">
        <v>30</v>
      </c>
      <c r="J24" s="16">
        <f>F24+H24</f>
        <v>8</v>
      </c>
      <c r="K24" s="12" t="s">
        <v>27</v>
      </c>
      <c r="L24" s="26" t="str">
        <f>TEXT(F24/J24,"0,00%")</f>
        <v>25,00%</v>
      </c>
      <c r="M24" s="27"/>
      <c r="N24" s="7"/>
      <c r="O24" s="7"/>
      <c r="P24" s="7"/>
      <c r="Q24" s="7"/>
      <c r="R24" s="7"/>
      <c r="S24" s="7"/>
      <c r="T24" s="7"/>
      <c r="U24" s="7"/>
      <c r="V24" s="7"/>
    </row>
    <row r="25" spans="1:66" ht="15" customHeight="1" x14ac:dyDescent="0.25">
      <c r="A25" s="7"/>
      <c r="B25" s="10"/>
      <c r="C25" s="10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11"/>
    </row>
    <row r="26" spans="1:66" ht="15" customHeight="1" x14ac:dyDescent="0.25">
      <c r="A26" s="10"/>
      <c r="B26" s="10"/>
      <c r="C26" s="10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</row>
    <row r="27" spans="1:66" ht="15" customHeight="1" x14ac:dyDescent="0.25">
      <c r="A27" s="10"/>
      <c r="B27" s="10"/>
      <c r="C27" s="10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1:66" s="6" customFormat="1" ht="10.5" customHeigh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</row>
    <row r="29" spans="1:66" x14ac:dyDescent="0.25">
      <c r="A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x14ac:dyDescent="0.25">
      <c r="A30" s="7"/>
      <c r="B30" s="7"/>
      <c r="C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x14ac:dyDescent="0.25">
      <c r="D31" s="7"/>
      <c r="E31" s="7"/>
      <c r="F31" s="7"/>
      <c r="G31" s="7"/>
      <c r="H31" s="7"/>
      <c r="I31" s="7"/>
      <c r="J31" s="7"/>
      <c r="K31" s="7"/>
    </row>
    <row r="32" spans="1:66" ht="26.25" customHeight="1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</row>
    <row r="35" spans="1:24" ht="26.25" customHeight="1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ht="13.9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ht="15" customHeight="1" x14ac:dyDescent="0.25">
      <c r="A43" s="7"/>
      <c r="B43" s="7"/>
      <c r="C43" s="7"/>
      <c r="D43" s="7"/>
      <c r="E43" s="7"/>
      <c r="F43" s="7"/>
      <c r="G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4" ht="15" customHeight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4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</sheetData>
  <mergeCells count="35">
    <mergeCell ref="A10:I10"/>
    <mergeCell ref="F13:I13"/>
    <mergeCell ref="C1:M5"/>
    <mergeCell ref="G6:I7"/>
    <mergeCell ref="L22:M22"/>
    <mergeCell ref="A17:E17"/>
    <mergeCell ref="C22:E22"/>
    <mergeCell ref="A11:E11"/>
    <mergeCell ref="A12:E12"/>
    <mergeCell ref="A13:E13"/>
    <mergeCell ref="A14:E14"/>
    <mergeCell ref="F12:I12"/>
    <mergeCell ref="F11:I11"/>
    <mergeCell ref="A19:O19"/>
    <mergeCell ref="F14:I14"/>
    <mergeCell ref="A16:I16"/>
    <mergeCell ref="A23:B23"/>
    <mergeCell ref="C24:E24"/>
    <mergeCell ref="C21:E21"/>
    <mergeCell ref="F20:G20"/>
    <mergeCell ref="F18:I18"/>
    <mergeCell ref="H20:I20"/>
    <mergeCell ref="A20:B20"/>
    <mergeCell ref="C20:E20"/>
    <mergeCell ref="A18:E18"/>
    <mergeCell ref="A21:B21"/>
    <mergeCell ref="A22:B22"/>
    <mergeCell ref="A24:B24"/>
    <mergeCell ref="C23:E23"/>
    <mergeCell ref="L21:M21"/>
    <mergeCell ref="L24:M24"/>
    <mergeCell ref="F17:I17"/>
    <mergeCell ref="L20:M20"/>
    <mergeCell ref="J20:K20"/>
    <mergeCell ref="L23:M23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O4"/>
  <sheetViews>
    <sheetView zoomScale="90" zoomScaleNormal="90" workbookViewId="0">
      <pane ySplit="1" topLeftCell="A2" activePane="bottomLeft" state="frozen"/>
      <selection pane="bottomLeft" activeCell="A10" sqref="A10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0.7109375" bestFit="1" customWidth="1"/>
    <col min="6" max="6" width="10.28515625" bestFit="1" customWidth="1"/>
    <col min="7" max="8" width="10.7109375" bestFit="1" customWidth="1"/>
    <col min="10" max="10" width="10.85546875" bestFit="1" customWidth="1"/>
    <col min="12" max="12" width="9.28515625" bestFit="1" customWidth="1"/>
    <col min="13" max="13" width="13.140625" bestFit="1" customWidth="1"/>
    <col min="14" max="14" width="11.28515625" bestFit="1" customWidth="1"/>
    <col min="15" max="15" width="10.7109375" bestFit="1" customWidth="1"/>
  </cols>
  <sheetData>
    <row r="1" spans="1:15" ht="16.149999999999999" customHeight="1" thickBot="1" x14ac:dyDescent="0.3">
      <c r="A1" s="1" t="s">
        <v>1</v>
      </c>
      <c r="B1" s="1" t="s">
        <v>0</v>
      </c>
      <c r="C1" s="1" t="s">
        <v>2</v>
      </c>
      <c r="D1" s="1" t="s">
        <v>3</v>
      </c>
      <c r="E1" s="1" t="s">
        <v>23</v>
      </c>
      <c r="F1" s="1" t="s">
        <v>24</v>
      </c>
      <c r="G1" s="1" t="s">
        <v>25</v>
      </c>
      <c r="H1" s="1" t="s">
        <v>26</v>
      </c>
      <c r="I1" s="1" t="s">
        <v>29</v>
      </c>
      <c r="J1" s="20" t="s">
        <v>28</v>
      </c>
      <c r="L1" t="s">
        <v>7</v>
      </c>
      <c r="M1" t="s">
        <v>8</v>
      </c>
      <c r="N1" t="s">
        <v>9</v>
      </c>
      <c r="O1" s="1"/>
    </row>
    <row r="2" spans="1:15" ht="16.5" thickTop="1" x14ac:dyDescent="0.25">
      <c r="A2" s="2">
        <v>1</v>
      </c>
      <c r="B2" s="3">
        <v>45786</v>
      </c>
      <c r="C2" s="4">
        <v>100.1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21">
        <f>D2-C2-F2-E2-G2-H2-I2</f>
        <v>-100.1</v>
      </c>
      <c r="L2" s="5">
        <f>COUNTA(A:A)-1</f>
        <v>3</v>
      </c>
      <c r="M2" s="5">
        <f>COUNTIF(D:D,"&gt;0")</f>
        <v>1</v>
      </c>
      <c r="N2" s="5">
        <f>COUNTIF(D:D,"0")</f>
        <v>2</v>
      </c>
    </row>
    <row r="3" spans="1:15" ht="15.75" x14ac:dyDescent="0.25">
      <c r="A3" s="2">
        <f>A2+1</f>
        <v>2</v>
      </c>
      <c r="B3" s="3">
        <v>45793</v>
      </c>
      <c r="C3" s="4">
        <v>100.1</v>
      </c>
      <c r="D3" s="4">
        <v>174.29</v>
      </c>
      <c r="E3" s="4">
        <v>4.3600000000000003</v>
      </c>
      <c r="F3" s="4">
        <v>0</v>
      </c>
      <c r="G3" s="4">
        <v>13.07</v>
      </c>
      <c r="H3" s="4">
        <v>17.43</v>
      </c>
      <c r="I3" s="4">
        <v>17.43</v>
      </c>
      <c r="J3" s="22">
        <f>D3-C3-F3-E3-G3-H3-I3</f>
        <v>21.9</v>
      </c>
    </row>
    <row r="4" spans="1:15" ht="15.75" x14ac:dyDescent="0.25">
      <c r="A4" s="2">
        <f>A3+1</f>
        <v>3</v>
      </c>
      <c r="B4" s="3">
        <v>45800</v>
      </c>
      <c r="C4" s="4">
        <v>100.1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22">
        <f>D4-C4-F4-E4-G4-H4-I4</f>
        <v>-100.1</v>
      </c>
    </row>
  </sheetData>
  <autoFilter ref="J1:J2" xr:uid="{D1BCF058-FE04-46AA-A705-935E602EA711}"/>
  <phoneticPr fontId="14" type="noConversion"/>
  <pageMargins left="0.7" right="0.7" top="0.78740157499999996" bottom="0.78740157499999996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2025-05-27T16:39:22Z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