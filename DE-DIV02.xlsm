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349" documentId="13_ncr:1_{32BD3745-769A-4363-92E4-3EACA8D86657}" xr6:coauthVersionLast="47" xr6:coauthVersionMax="47" xr10:uidLastSave="{521CA688-ED2B-4D3E-B00A-8F6D6B32D2A6}"/>
  <bookViews>
    <workbookView xWindow="11895" yWindow="0" windowWidth="12210" windowHeight="12885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2" l="1"/>
  <c r="J3" i="11"/>
  <c r="J2" i="11"/>
  <c r="A3" i="11"/>
  <c r="F17" i="12"/>
  <c r="J22" i="12"/>
  <c r="L22" i="12" s="1"/>
  <c r="J24" i="12"/>
  <c r="L24" i="12" s="1"/>
  <c r="J23" i="12"/>
  <c r="L23" i="12" s="1"/>
  <c r="J21" i="12"/>
  <c r="L21" i="12" s="1"/>
  <c r="N2" i="11" l="1"/>
  <c r="F13" i="12" s="1"/>
  <c r="M2" i="11"/>
  <c r="F12" i="12" s="1"/>
  <c r="L2" i="11" l="1"/>
  <c r="F14" i="12" s="1"/>
  <c r="F11" i="12" l="1"/>
</calcChain>
</file>

<file path=xl/sharedStrings.xml><?xml version="1.0" encoding="utf-8"?>
<sst xmlns="http://schemas.openxmlformats.org/spreadsheetml/2006/main" count="46" uniqueCount="35">
  <si>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</si>
  <si>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</si>
  <si>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</si>
  <si>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</si>
  <si>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</si>
  <si>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</si>
  <si>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</si>
  <si>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</si>
  <si>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</si>
  <si>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</si>
  <si>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</si>
  <si>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</si>
  <si>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</si>
  <si>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</si>
  <si>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</si>
  <si>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</si>
  <si>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</si>
  <si>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</si>
  <si>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</si>
  <si>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</si>
  <si>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</si>
  <si>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</si>
  <si>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Statistik Division 2</t>
  </si>
  <si>
    <t>DE005</t>
  </si>
  <si>
    <t>DE006</t>
  </si>
  <si>
    <t>DE007</t>
  </si>
  <si>
    <t>DE008</t>
  </si>
  <si>
    <t>+ 0</t>
  </si>
  <si>
    <t>Spalte1</t>
  </si>
  <si>
    <t>Leiter</t>
  </si>
  <si>
    <t>+ 4</t>
  </si>
  <si>
    <t>+ 2</t>
  </si>
  <si>
    <t>+ 1</t>
  </si>
  <si>
    <t>+ 3</t>
  </si>
  <si>
    <t>Stand: 19.05.2025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</si>
</sst>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5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5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6" xfId="0" applyFont="1" applyFill="1" applyBorder="1"/>
    <xf numFmtId="8" fontId="4" fillId="5" borderId="17" xfId="0" applyNumberFormat="1" applyFont="1" applyFill="1" applyBorder="1"/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10" fillId="3" borderId="8" xfId="0" quotePrefix="1" applyFont="1" applyFill="1" applyBorder="1" applyAlignment="1">
      <alignment horizontal="center"/>
    </xf>
    <xf numFmtId="8" fontId="10" fillId="3" borderId="0" xfId="1" applyNumberFormat="1" applyFont="1" applyFill="1" applyBorder="1" applyAlignment="1">
      <alignment horizontal="right"/>
    </xf>
    <xf numFmtId="44" fontId="10" fillId="3" borderId="0" xfId="1" applyFont="1" applyFill="1" applyBorder="1" applyAlignment="1">
      <alignment horizontal="right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8" fontId="0" fillId="0" borderId="0" xfId="0" applyNumberFormat="1"/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3" totalsRowShown="0" headerRowDxfId="14" dataDxfId="13">
  <autoFilter ref="A1:I3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05" dataDxfId="8"/>
    <tableColumn id="7" xr3:uid="{5E213DFF-7615-48CF-8944-4C071C187C55}" name="DE006" dataDxfId="7"/>
    <tableColumn id="8" xr3:uid="{265603BC-E9E1-462B-9A6D-C0F306480253}" name="DE007" dataDxfId="6"/>
    <tableColumn id="9" xr3:uid="{8305AF6F-BFE9-4D5B-8B01-3CF39FA2D0B3}" name="DE008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M14" sqref="M14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50" t="s">
        <v>22</v>
      </c>
      <c r="D1" s="50"/>
      <c r="E1" s="50"/>
      <c r="F1" s="50"/>
      <c r="G1" s="50"/>
      <c r="H1" s="50"/>
      <c r="I1" s="50"/>
      <c r="J1" s="50"/>
      <c r="K1" s="50"/>
      <c r="L1" s="50"/>
      <c r="M1" s="50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51" t="s">
        <v>34</v>
      </c>
      <c r="H6" s="52"/>
      <c r="I6" s="52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52"/>
      <c r="H7" s="52"/>
      <c r="I7" s="52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48" t="s">
        <v>15</v>
      </c>
      <c r="B10" s="48"/>
      <c r="C10" s="48"/>
      <c r="D10" s="48"/>
      <c r="E10" s="48"/>
      <c r="F10" s="48"/>
      <c r="G10" s="48"/>
      <c r="H10" s="48"/>
      <c r="I10" s="48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47" t="s">
        <v>11</v>
      </c>
      <c r="B11" s="47"/>
      <c r="C11" s="47"/>
      <c r="D11" s="47"/>
      <c r="E11" s="47"/>
      <c r="F11" s="47">
        <f>Finanzen!L2</f>
        <v>2</v>
      </c>
      <c r="G11" s="47"/>
      <c r="H11" s="47"/>
      <c r="I11" s="4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47" t="s">
        <v>18</v>
      </c>
      <c r="B12" s="47"/>
      <c r="C12" s="47"/>
      <c r="D12" s="47"/>
      <c r="E12" s="47"/>
      <c r="F12" s="53">
        <f>Finanzen!M2</f>
        <v>1</v>
      </c>
      <c r="G12" s="53"/>
      <c r="H12" s="53"/>
      <c r="I12" s="53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47" t="s">
        <v>19</v>
      </c>
      <c r="B13" s="47"/>
      <c r="C13" s="47"/>
      <c r="D13" s="47"/>
      <c r="E13" s="47"/>
      <c r="F13" s="49">
        <f>Finanzen!N2</f>
        <v>1</v>
      </c>
      <c r="G13" s="49"/>
      <c r="H13" s="49"/>
      <c r="I13" s="49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47" t="s">
        <v>6</v>
      </c>
      <c r="B14" s="47"/>
      <c r="C14" s="47"/>
      <c r="D14" s="47"/>
      <c r="E14" s="47"/>
      <c r="F14" s="47" t="str">
        <f>TEXT(Finanzen!M2/Finanzen!L2,"0,00%")</f>
        <v>50,00%</v>
      </c>
      <c r="G14" s="47"/>
      <c r="H14" s="47"/>
      <c r="I14" s="4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48" t="s">
        <v>16</v>
      </c>
      <c r="B16" s="48"/>
      <c r="C16" s="48"/>
      <c r="D16" s="48"/>
      <c r="E16" s="48"/>
      <c r="F16" s="48"/>
      <c r="G16" s="48"/>
      <c r="H16" s="48"/>
      <c r="I16" s="48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47" t="s">
        <v>10</v>
      </c>
      <c r="B17" s="47"/>
      <c r="C17" s="47"/>
      <c r="D17" s="47"/>
      <c r="E17" s="47"/>
      <c r="F17" s="33">
        <f>SUM(Finanzen!D:D)</f>
        <v>174.29</v>
      </c>
      <c r="G17" s="33"/>
      <c r="H17" s="33"/>
      <c r="I17" s="33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47" t="s">
        <v>21</v>
      </c>
      <c r="B18" s="47"/>
      <c r="C18" s="47"/>
      <c r="D18" s="47"/>
      <c r="E18" s="47"/>
      <c r="F18" s="40">
        <f>2002 + SUM(Finanzen!J:J)</f>
        <v>1923.8</v>
      </c>
      <c r="G18" s="41"/>
      <c r="H18" s="41"/>
      <c r="I18" s="41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48" t="s">
        <v>17</v>
      </c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42" t="s">
        <v>14</v>
      </c>
      <c r="B20" s="43"/>
      <c r="C20" s="44" t="s">
        <v>4</v>
      </c>
      <c r="D20" s="45"/>
      <c r="E20" s="46"/>
      <c r="F20" s="39" t="s">
        <v>12</v>
      </c>
      <c r="G20" s="35"/>
      <c r="H20" s="39" t="s">
        <v>20</v>
      </c>
      <c r="I20" s="35"/>
      <c r="J20" s="34" t="s">
        <v>13</v>
      </c>
      <c r="K20" s="35"/>
      <c r="L20" s="34" t="s">
        <v>5</v>
      </c>
      <c r="M20" s="35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24">
        <v>1</v>
      </c>
      <c r="B21" s="25"/>
      <c r="C21" s="36" t="s">
        <v>25</v>
      </c>
      <c r="D21" s="37"/>
      <c r="E21" s="38"/>
      <c r="F21" s="14">
        <v>4</v>
      </c>
      <c r="G21" s="12" t="s">
        <v>31</v>
      </c>
      <c r="H21" s="16">
        <v>3</v>
      </c>
      <c r="I21" s="12" t="s">
        <v>31</v>
      </c>
      <c r="J21" s="16">
        <f>F21+H21</f>
        <v>7</v>
      </c>
      <c r="K21" s="12" t="s">
        <v>30</v>
      </c>
      <c r="L21" s="31" t="str">
        <f>TEXT(F21/J21,"0,00%")</f>
        <v>57,14%</v>
      </c>
      <c r="M21" s="32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24">
        <v>2</v>
      </c>
      <c r="B22" s="25"/>
      <c r="C22" s="36" t="s">
        <v>23</v>
      </c>
      <c r="D22" s="37"/>
      <c r="E22" s="38"/>
      <c r="F22" s="14">
        <v>3</v>
      </c>
      <c r="G22" s="12" t="s">
        <v>33</v>
      </c>
      <c r="H22" s="16">
        <v>5</v>
      </c>
      <c r="I22" s="12" t="s">
        <v>32</v>
      </c>
      <c r="J22" s="16">
        <f>F22+H22</f>
        <v>8</v>
      </c>
      <c r="K22" s="12" t="s">
        <v>30</v>
      </c>
      <c r="L22" s="31" t="str">
        <f>TEXT(F22/J22,"0,00%")</f>
        <v>37,50%</v>
      </c>
      <c r="M22" s="32"/>
      <c r="N22" s="7"/>
      <c r="O22" s="7"/>
      <c r="P22" s="7"/>
      <c r="Q22" s="7"/>
      <c r="R22" s="7"/>
      <c r="S22" s="7"/>
      <c r="T22" s="7"/>
      <c r="U22" s="7"/>
      <c r="V22" s="7"/>
    </row>
    <row r="23" spans="1:66" ht="47.25" thickBot="1" x14ac:dyDescent="0.75">
      <c r="A23" s="24">
        <v>2</v>
      </c>
      <c r="B23" s="25"/>
      <c r="C23" s="28" t="s">
        <v>26</v>
      </c>
      <c r="D23" s="29"/>
      <c r="E23" s="30"/>
      <c r="F23" s="15">
        <v>3</v>
      </c>
      <c r="G23" s="13" t="s">
        <v>31</v>
      </c>
      <c r="H23" s="17">
        <v>5</v>
      </c>
      <c r="I23" s="13" t="s">
        <v>31</v>
      </c>
      <c r="J23" s="17">
        <f>F23+H23</f>
        <v>8</v>
      </c>
      <c r="K23" s="13" t="s">
        <v>30</v>
      </c>
      <c r="L23" s="22" t="str">
        <f>TEXT(F23/J23,"0,00%")</f>
        <v>37,50%</v>
      </c>
      <c r="M23" s="23"/>
      <c r="N23" s="7"/>
      <c r="O23" s="7"/>
      <c r="P23" s="7"/>
      <c r="Q23" s="7"/>
      <c r="R23" s="7"/>
      <c r="S23" s="7"/>
      <c r="T23" s="7"/>
      <c r="U23" s="7"/>
      <c r="V23" s="7"/>
    </row>
    <row r="24" spans="1:66" ht="47.25" thickBot="1" x14ac:dyDescent="0.75">
      <c r="A24" s="26">
        <v>3</v>
      </c>
      <c r="B24" s="27"/>
      <c r="C24" s="36" t="s">
        <v>24</v>
      </c>
      <c r="D24" s="37"/>
      <c r="E24" s="38"/>
      <c r="F24" s="14">
        <v>2</v>
      </c>
      <c r="G24" s="12" t="s">
        <v>27</v>
      </c>
      <c r="H24" s="16">
        <v>2</v>
      </c>
      <c r="I24" s="12" t="s">
        <v>27</v>
      </c>
      <c r="J24" s="16">
        <f>F24+H24</f>
        <v>4</v>
      </c>
      <c r="K24" s="12" t="s">
        <v>27</v>
      </c>
      <c r="L24" s="31" t="str">
        <f>TEXT(F24/J24,"0,00%")</f>
        <v>50,00%</v>
      </c>
      <c r="M24" s="32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C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x14ac:dyDescent="0.25">
      <c r="D31" s="7"/>
      <c r="E31" s="7"/>
      <c r="F31" s="7"/>
      <c r="G31" s="7"/>
      <c r="H31" s="7"/>
      <c r="I31" s="7"/>
      <c r="J31" s="7"/>
      <c r="K31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A10:I10"/>
    <mergeCell ref="F13:I13"/>
    <mergeCell ref="C1:M5"/>
    <mergeCell ref="G6:I7"/>
    <mergeCell ref="L22:M22"/>
    <mergeCell ref="A17:E17"/>
    <mergeCell ref="C22:E22"/>
    <mergeCell ref="A11:E11"/>
    <mergeCell ref="A12:E12"/>
    <mergeCell ref="A13:E13"/>
    <mergeCell ref="A14:E14"/>
    <mergeCell ref="F12:I12"/>
    <mergeCell ref="F11:I11"/>
    <mergeCell ref="A19:O19"/>
    <mergeCell ref="F14:I14"/>
    <mergeCell ref="A16:I16"/>
    <mergeCell ref="F17:I17"/>
    <mergeCell ref="L20:M20"/>
    <mergeCell ref="A23:B23"/>
    <mergeCell ref="C24:E24"/>
    <mergeCell ref="C21:E21"/>
    <mergeCell ref="F20:G20"/>
    <mergeCell ref="F18:I18"/>
    <mergeCell ref="H20:I20"/>
    <mergeCell ref="J20:K20"/>
    <mergeCell ref="A20:B20"/>
    <mergeCell ref="C20:E20"/>
    <mergeCell ref="A18:E18"/>
    <mergeCell ref="L23:M23"/>
    <mergeCell ref="A21:B21"/>
    <mergeCell ref="A22:B22"/>
    <mergeCell ref="A24:B24"/>
    <mergeCell ref="C23:E23"/>
    <mergeCell ref="L21:M21"/>
    <mergeCell ref="L24:M24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3"/>
  <sheetViews>
    <sheetView zoomScale="90" zoomScaleNormal="90" workbookViewId="0">
      <pane ySplit="1" topLeftCell="A2" activePane="bottomLeft" state="frozen"/>
      <selection pane="bottomLeft" activeCell="A6" sqref="A6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10" max="10" width="10.85546875" bestFit="1" customWidth="1"/>
    <col min="12" max="12" width="9.28515625" bestFit="1" customWidth="1"/>
    <col min="13" max="13" width="13.140625" bestFit="1" customWidth="1"/>
    <col min="14" max="14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23</v>
      </c>
      <c r="F1" s="1" t="s">
        <v>24</v>
      </c>
      <c r="G1" s="1" t="s">
        <v>25</v>
      </c>
      <c r="H1" s="1" t="s">
        <v>26</v>
      </c>
      <c r="I1" s="1" t="s">
        <v>29</v>
      </c>
      <c r="J1" s="20" t="s">
        <v>28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45786</v>
      </c>
      <c r="C2" s="4">
        <v>100.1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21">
        <f>D2-C2-F2-E2-G2-H2-I2</f>
        <v>-100.1</v>
      </c>
      <c r="L2" s="5">
        <f>COUNTA(A:A)-1</f>
        <v>2</v>
      </c>
      <c r="M2" s="5">
        <f>COUNTIF(D:D,"&gt;0")</f>
        <v>1</v>
      </c>
      <c r="N2" s="5">
        <f>COUNTIF(D:D,"0")</f>
        <v>1</v>
      </c>
    </row>
    <row r="3" spans="1:15" ht="15.75" x14ac:dyDescent="0.25">
      <c r="A3" s="2">
        <f>A2+1</f>
        <v>2</v>
      </c>
      <c r="B3" s="3">
        <v>45793</v>
      </c>
      <c r="C3" s="4">
        <v>100.1</v>
      </c>
      <c r="D3" s="4">
        <v>174.29</v>
      </c>
      <c r="E3" s="4">
        <v>4.3600000000000003</v>
      </c>
      <c r="F3" s="4">
        <v>0</v>
      </c>
      <c r="G3" s="4">
        <v>13.07</v>
      </c>
      <c r="H3" s="4">
        <v>17.43</v>
      </c>
      <c r="I3" s="4">
        <v>17.43</v>
      </c>
      <c r="J3" s="54">
        <f>D3-C3-F3-E3-G3-H3-I3</f>
        <v>21.9</v>
      </c>
    </row>
  </sheetData>
  <autoFilter ref="J1:J2" xr:uid="{D1BCF058-FE04-46AA-A705-935E602EA711}"/>
  <phoneticPr fontId="14" type="noConversion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2025-05-19T16:18:48Z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