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704" documentId="13_ncr:1_{32BD3745-769A-4363-92E4-3EACA8D86657}" xr6:coauthVersionLast="47" xr6:coauthVersionMax="47" xr10:uidLastSave="{C898E67F-9D58-47BC-AC63-7EFC420CED3C}"/>
  <bookViews>
    <workbookView xWindow="11895" yWindow="0" windowWidth="12210" windowHeight="12885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3" i="11" l="1"/>
  <c r="A13" i="11"/>
  <c r="J12" i="11"/>
  <c r="A12" i="11"/>
  <c r="J11" i="11"/>
  <c r="A11" i="11"/>
  <c r="J10" i="11"/>
  <c r="A10" i="11"/>
  <c r="J9" i="11"/>
  <c r="A9" i="11"/>
  <c r="J8" i="11"/>
  <c r="A8" i="11"/>
  <c r="J7" i="11"/>
  <c r="A7" i="11"/>
  <c r="J6" i="11"/>
  <c r="A6" i="11"/>
  <c r="J5" i="11"/>
  <c r="A5" i="11"/>
  <c r="J4" i="11"/>
  <c r="J3" i="11"/>
  <c r="A4" i="11"/>
  <c r="F18" i="12"/>
  <c r="J2" i="11"/>
  <c r="A3" i="11"/>
  <c r="F17" i="12"/>
  <c r="J24" i="12"/>
  <c r="L24" i="12" s="1"/>
  <c r="J23" i="12"/>
  <c r="L23" i="12" s="1"/>
  <c r="J22" i="12"/>
  <c r="L22" i="12" s="1"/>
  <c r="J21" i="12"/>
  <c r="L21" i="12" s="1"/>
  <c r="N2" i="11" l="1"/>
  <c r="F13" i="12" s="1"/>
  <c r="M2" i="11"/>
  <c r="F12" i="12" s="1"/>
  <c r="L2" i="11" l="1"/>
  <c r="F14" i="12" s="1"/>
  <c r="F11" i="12" l="1"/>
</calcChain>
</file>

<file path=xl/sharedStrings.xml><?xml version="1.0" encoding="utf-8"?>
<sst xmlns="http://schemas.openxmlformats.org/spreadsheetml/2006/main" count="46" uniqueCount="35">
  <si>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</si>
  <si>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</si>
  <si>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</si>
  <si>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</si>
  <si>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</si>
  <si>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</si>
  <si>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</si>
  <si>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</si>
  <si>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</si>
  <si>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</si>
  <si>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</si>
  <si>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</si>
  <si>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</si>
  <si>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</si>
  <si>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</si>
  <si>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</si>
  <si>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</si>
  <si>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</si>
  <si>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</si>
  <si>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</si>
  <si>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</si>
  <si>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</si>
  <si>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Statistik Division 2</t>
  </si>
  <si>
    <t>DE005</t>
  </si>
  <si>
    <t>DE006</t>
  </si>
  <si>
    <t>DE007</t>
  </si>
  <si>
    <t>DE008</t>
  </si>
  <si>
    <t>Spalte1</t>
  </si>
  <si>
    <t>Leiter</t>
  </si>
  <si>
    <t>+ 4</t>
  </si>
  <si>
    <t>+ 1</t>
  </si>
  <si>
    <t>+ 3</t>
  </si>
  <si>
    <t>+ 0</t>
  </si>
  <si>
    <t>+ 2</t>
  </si>
  <si>
    <t>Stand: 31.07.2025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</si>
</sst>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5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5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0" fontId="8" fillId="3" borderId="4" xfId="0" applyFont="1" applyFill="1" applyBorder="1"/>
    <xf numFmtId="0" fontId="6" fillId="3" borderId="4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1" xfId="0" applyFont="1" applyFill="1" applyBorder="1"/>
    <xf numFmtId="8" fontId="4" fillId="5" borderId="12" xfId="0" applyNumberFormat="1" applyFont="1" applyFill="1" applyBorder="1"/>
    <xf numFmtId="8" fontId="0" fillId="0" borderId="0" xfId="0" applyNumberFormat="1"/>
    <xf numFmtId="9" fontId="10" fillId="3" borderId="8" xfId="3" applyFont="1" applyFill="1" applyBorder="1" applyAlignment="1">
      <alignment horizontal="center" vertical="center"/>
    </xf>
    <xf numFmtId="9" fontId="10" fillId="3" borderId="9" xfId="3" applyFont="1" applyFill="1" applyBorder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6" xfId="0" quotePrefix="1" applyFont="1" applyFill="1" applyBorder="1" applyAlignment="1">
      <alignment horizontal="center"/>
    </xf>
    <xf numFmtId="8" fontId="10" fillId="3" borderId="0" xfId="1" applyNumberFormat="1" applyFont="1" applyFill="1" applyBorder="1" applyAlignment="1">
      <alignment horizontal="right"/>
    </xf>
    <xf numFmtId="44" fontId="10" fillId="3" borderId="0" xfId="1" applyFont="1" applyFill="1" applyBorder="1" applyAlignment="1">
      <alignment horizontal="right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3" borderId="0" xfId="0" applyFont="1" applyFill="1" applyAlignment="1">
      <alignment horizontal="right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13" totalsRowShown="0" headerRowDxfId="14" dataDxfId="13">
  <autoFilter ref="A1:I13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05" dataDxfId="8"/>
    <tableColumn id="7" xr3:uid="{5E213DFF-7615-48CF-8944-4C071C187C55}" name="DE006" dataDxfId="7"/>
    <tableColumn id="8" xr3:uid="{265603BC-E9E1-462B-9A6D-C0F306480253}" name="DE007" dataDxfId="6"/>
    <tableColumn id="9" xr3:uid="{8305AF6F-BFE9-4D5B-8B01-3CF39FA2D0B3}" name="DE008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40" zoomScaleNormal="40" workbookViewId="0">
      <pane ySplit="9" topLeftCell="A10" activePane="bottomLeft" state="frozen"/>
      <selection activeCell="Z33" sqref="Z33"/>
      <selection pane="bottomLeft" activeCell="P13" sqref="P13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5"/>
      <c r="B1" s="15"/>
      <c r="C1" s="40" t="s">
        <v>22</v>
      </c>
      <c r="D1" s="40"/>
      <c r="E1" s="40"/>
      <c r="F1" s="40"/>
      <c r="G1" s="40"/>
      <c r="H1" s="40"/>
      <c r="I1" s="40"/>
      <c r="J1" s="40"/>
      <c r="K1" s="40"/>
      <c r="L1" s="40"/>
      <c r="M1" s="40"/>
      <c r="N1" s="15"/>
      <c r="O1" s="15"/>
      <c r="P1" s="15"/>
      <c r="Q1" s="15"/>
      <c r="R1" s="15"/>
      <c r="S1" s="15"/>
      <c r="T1" s="15"/>
      <c r="U1" s="15"/>
      <c r="V1" s="7"/>
      <c r="W1" s="7"/>
      <c r="X1" s="7"/>
    </row>
    <row r="2" spans="1:24" ht="14.45" customHeight="1" x14ac:dyDescent="0.25">
      <c r="A2" s="15"/>
      <c r="B2" s="15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15"/>
      <c r="O2" s="15"/>
      <c r="P2" s="15"/>
      <c r="Q2" s="15"/>
      <c r="R2" s="15"/>
      <c r="S2" s="15"/>
      <c r="T2" s="15"/>
      <c r="U2" s="15"/>
      <c r="V2" s="7"/>
      <c r="W2" s="7"/>
      <c r="X2" s="7"/>
    </row>
    <row r="3" spans="1:24" ht="14.45" customHeight="1" x14ac:dyDescent="0.25">
      <c r="A3" s="15"/>
      <c r="B3" s="15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15"/>
      <c r="O3" s="15"/>
      <c r="P3" s="15"/>
      <c r="Q3" s="15"/>
      <c r="R3" s="15"/>
      <c r="S3" s="15"/>
      <c r="T3" s="15"/>
      <c r="U3" s="15"/>
      <c r="V3" s="7"/>
      <c r="W3" s="7"/>
      <c r="X3" s="7"/>
    </row>
    <row r="4" spans="1:24" ht="14.45" customHeight="1" x14ac:dyDescent="0.25">
      <c r="A4" s="15"/>
      <c r="B4" s="15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15"/>
      <c r="O4" s="15"/>
      <c r="P4" s="15"/>
      <c r="Q4" s="15"/>
      <c r="R4" s="15"/>
      <c r="S4" s="15"/>
      <c r="T4" s="15"/>
      <c r="U4" s="15"/>
      <c r="V4" s="7"/>
      <c r="W4" s="7"/>
      <c r="X4" s="7"/>
    </row>
    <row r="5" spans="1:24" ht="14.45" customHeight="1" x14ac:dyDescent="0.25">
      <c r="A5" s="15"/>
      <c r="B5" s="15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15"/>
      <c r="O5" s="15"/>
      <c r="P5" s="15"/>
      <c r="Q5" s="15"/>
      <c r="R5" s="15"/>
      <c r="S5" s="15"/>
      <c r="T5" s="15"/>
      <c r="U5" s="15"/>
      <c r="V5" s="7"/>
      <c r="W5" s="7"/>
      <c r="X5" s="7"/>
    </row>
    <row r="6" spans="1:24" ht="14.45" customHeight="1" x14ac:dyDescent="0.25">
      <c r="A6" s="15"/>
      <c r="B6" s="15"/>
      <c r="C6" s="15"/>
      <c r="D6" s="15"/>
      <c r="E6" s="15"/>
      <c r="F6" s="15"/>
      <c r="G6" s="41" t="s">
        <v>34</v>
      </c>
      <c r="H6" s="42"/>
      <c r="I6" s="42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42"/>
      <c r="H7" s="42"/>
      <c r="I7" s="42"/>
      <c r="J7" s="16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30" t="s">
        <v>15</v>
      </c>
      <c r="B10" s="30"/>
      <c r="C10" s="30"/>
      <c r="D10" s="30"/>
      <c r="E10" s="30"/>
      <c r="F10" s="30"/>
      <c r="G10" s="30"/>
      <c r="H10" s="30"/>
      <c r="I10" s="30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43" t="s">
        <v>11</v>
      </c>
      <c r="B11" s="43"/>
      <c r="C11" s="43"/>
      <c r="D11" s="43"/>
      <c r="E11" s="43"/>
      <c r="F11" s="43">
        <f>Finanzen!L2</f>
        <v>12</v>
      </c>
      <c r="G11" s="43"/>
      <c r="H11" s="43"/>
      <c r="I11" s="43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43" t="s">
        <v>18</v>
      </c>
      <c r="B12" s="43"/>
      <c r="C12" s="43"/>
      <c r="D12" s="43"/>
      <c r="E12" s="43"/>
      <c r="F12" s="44">
        <f>Finanzen!M2</f>
        <v>2</v>
      </c>
      <c r="G12" s="44"/>
      <c r="H12" s="44"/>
      <c r="I12" s="44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43" t="s">
        <v>19</v>
      </c>
      <c r="B13" s="43"/>
      <c r="C13" s="43"/>
      <c r="D13" s="43"/>
      <c r="E13" s="43"/>
      <c r="F13" s="31">
        <f>Finanzen!N2</f>
        <v>10</v>
      </c>
      <c r="G13" s="31"/>
      <c r="H13" s="31"/>
      <c r="I13" s="31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43" t="s">
        <v>6</v>
      </c>
      <c r="B14" s="43"/>
      <c r="C14" s="43"/>
      <c r="D14" s="43"/>
      <c r="E14" s="43"/>
      <c r="F14" s="43" t="str">
        <f>TEXT(Finanzen!M2/Finanzen!L2,"0,00%")</f>
        <v>16,67%</v>
      </c>
      <c r="G14" s="43"/>
      <c r="H14" s="43"/>
      <c r="I14" s="43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30" t="s">
        <v>16</v>
      </c>
      <c r="B16" s="30"/>
      <c r="C16" s="30"/>
      <c r="D16" s="30"/>
      <c r="E16" s="30"/>
      <c r="F16" s="30"/>
      <c r="G16" s="30"/>
      <c r="H16" s="30"/>
      <c r="I16" s="30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43" t="s">
        <v>10</v>
      </c>
      <c r="B17" s="43"/>
      <c r="C17" s="43"/>
      <c r="D17" s="43"/>
      <c r="E17" s="43"/>
      <c r="F17" s="22">
        <f>SUM(Finanzen!D:D)</f>
        <v>812.07999999999993</v>
      </c>
      <c r="G17" s="22"/>
      <c r="H17" s="22"/>
      <c r="I17" s="22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43" t="s">
        <v>21</v>
      </c>
      <c r="B18" s="43"/>
      <c r="C18" s="43"/>
      <c r="D18" s="43"/>
      <c r="E18" s="43"/>
      <c r="F18" s="26">
        <f>2002 + SUM(Finanzen!J:J)</f>
        <v>1369.2799999999997</v>
      </c>
      <c r="G18" s="27"/>
      <c r="H18" s="27"/>
      <c r="I18" s="2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30" t="s">
        <v>17</v>
      </c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35" t="s">
        <v>14</v>
      </c>
      <c r="B20" s="36"/>
      <c r="C20" s="37" t="s">
        <v>4</v>
      </c>
      <c r="D20" s="38"/>
      <c r="E20" s="39"/>
      <c r="F20" s="25" t="s">
        <v>12</v>
      </c>
      <c r="G20" s="24"/>
      <c r="H20" s="25" t="s">
        <v>20</v>
      </c>
      <c r="I20" s="24"/>
      <c r="J20" s="23" t="s">
        <v>13</v>
      </c>
      <c r="K20" s="24"/>
      <c r="L20" s="23" t="s">
        <v>5</v>
      </c>
      <c r="M20" s="24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28">
        <v>1</v>
      </c>
      <c r="B21" s="29"/>
      <c r="C21" s="32" t="s">
        <v>25</v>
      </c>
      <c r="D21" s="33"/>
      <c r="E21" s="34"/>
      <c r="F21" s="13">
        <v>19</v>
      </c>
      <c r="G21" s="12" t="s">
        <v>32</v>
      </c>
      <c r="H21" s="14">
        <v>25</v>
      </c>
      <c r="I21" s="12" t="s">
        <v>31</v>
      </c>
      <c r="J21" s="14">
        <f>F21+H21</f>
        <v>44</v>
      </c>
      <c r="K21" s="12" t="s">
        <v>31</v>
      </c>
      <c r="L21" s="20" t="str">
        <f>TEXT(F21/J21,"0,00%")</f>
        <v>43,18%</v>
      </c>
      <c r="M21" s="21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28">
        <v>2</v>
      </c>
      <c r="B22" s="29"/>
      <c r="C22" s="32" t="s">
        <v>26</v>
      </c>
      <c r="D22" s="33"/>
      <c r="E22" s="34"/>
      <c r="F22" s="13">
        <v>14</v>
      </c>
      <c r="G22" s="12" t="s">
        <v>30</v>
      </c>
      <c r="H22" s="14">
        <v>30</v>
      </c>
      <c r="I22" s="12" t="s">
        <v>31</v>
      </c>
      <c r="J22" s="14">
        <f>F22+H22</f>
        <v>44</v>
      </c>
      <c r="K22" s="12" t="s">
        <v>29</v>
      </c>
      <c r="L22" s="20" t="str">
        <f>TEXT(F22/J22,"0,00%")</f>
        <v>31,82%</v>
      </c>
      <c r="M22" s="21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28">
        <v>3</v>
      </c>
      <c r="B23" s="29"/>
      <c r="C23" s="32" t="s">
        <v>24</v>
      </c>
      <c r="D23" s="33"/>
      <c r="E23" s="34"/>
      <c r="F23" s="13">
        <v>13</v>
      </c>
      <c r="G23" s="12" t="s">
        <v>33</v>
      </c>
      <c r="H23" s="14">
        <v>26</v>
      </c>
      <c r="I23" s="12" t="s">
        <v>33</v>
      </c>
      <c r="J23" s="14">
        <f>F23+H23</f>
        <v>39</v>
      </c>
      <c r="K23" s="12" t="s">
        <v>29</v>
      </c>
      <c r="L23" s="20" t="str">
        <f>TEXT(F23/J23,"0,00%")</f>
        <v>33,33%</v>
      </c>
      <c r="M23" s="21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28">
        <v>4</v>
      </c>
      <c r="B24" s="29"/>
      <c r="C24" s="32" t="s">
        <v>23</v>
      </c>
      <c r="D24" s="33"/>
      <c r="E24" s="34"/>
      <c r="F24" s="13">
        <v>10</v>
      </c>
      <c r="G24" s="12" t="s">
        <v>32</v>
      </c>
      <c r="H24" s="14">
        <v>30</v>
      </c>
      <c r="I24" s="12" t="s">
        <v>29</v>
      </c>
      <c r="J24" s="14">
        <f>F24+H24</f>
        <v>40</v>
      </c>
      <c r="K24" s="12" t="s">
        <v>29</v>
      </c>
      <c r="L24" s="20" t="str">
        <f>TEXT(F24/J24,"0,00%")</f>
        <v>25,00%</v>
      </c>
      <c r="M24" s="21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C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x14ac:dyDescent="0.25">
      <c r="D31" s="7"/>
      <c r="E31" s="7"/>
      <c r="F31" s="7"/>
      <c r="G31" s="7"/>
      <c r="H31" s="7"/>
      <c r="I31" s="7"/>
      <c r="J31" s="7"/>
      <c r="K31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C1:M5"/>
    <mergeCell ref="G6:I7"/>
    <mergeCell ref="L24:M24"/>
    <mergeCell ref="A17:E17"/>
    <mergeCell ref="C24:E24"/>
    <mergeCell ref="A11:E11"/>
    <mergeCell ref="A12:E12"/>
    <mergeCell ref="A13:E13"/>
    <mergeCell ref="A14:E14"/>
    <mergeCell ref="F12:I12"/>
    <mergeCell ref="F11:I11"/>
    <mergeCell ref="A19:O19"/>
    <mergeCell ref="F14:I14"/>
    <mergeCell ref="A16:I16"/>
    <mergeCell ref="A18:E18"/>
    <mergeCell ref="A21:B21"/>
    <mergeCell ref="A22:B22"/>
    <mergeCell ref="A10:I10"/>
    <mergeCell ref="F13:I13"/>
    <mergeCell ref="A24:B24"/>
    <mergeCell ref="C22:E22"/>
    <mergeCell ref="A23:B23"/>
    <mergeCell ref="C23:E23"/>
    <mergeCell ref="C21:E21"/>
    <mergeCell ref="A20:B20"/>
    <mergeCell ref="C20:E20"/>
    <mergeCell ref="L21:M21"/>
    <mergeCell ref="L23:M23"/>
    <mergeCell ref="F17:I17"/>
    <mergeCell ref="L20:M20"/>
    <mergeCell ref="J20:K20"/>
    <mergeCell ref="L22:M22"/>
    <mergeCell ref="F20:G20"/>
    <mergeCell ref="F18:I18"/>
    <mergeCell ref="H20:I20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13"/>
  <sheetViews>
    <sheetView zoomScale="90" zoomScaleNormal="90" workbookViewId="0">
      <pane ySplit="1" topLeftCell="A2" activePane="bottomLeft" state="frozen"/>
      <selection pane="bottomLeft" activeCell="A15" sqref="A15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10" max="10" width="10.85546875" bestFit="1" customWidth="1"/>
    <col min="12" max="12" width="9.28515625" bestFit="1" customWidth="1"/>
    <col min="13" max="13" width="13.140625" bestFit="1" customWidth="1"/>
    <col min="14" max="14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23</v>
      </c>
      <c r="F1" s="1" t="s">
        <v>24</v>
      </c>
      <c r="G1" s="1" t="s">
        <v>25</v>
      </c>
      <c r="H1" s="1" t="s">
        <v>26</v>
      </c>
      <c r="I1" s="1" t="s">
        <v>28</v>
      </c>
      <c r="J1" s="17" t="s">
        <v>27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45786</v>
      </c>
      <c r="C2" s="4">
        <v>100.1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18">
        <f t="shared" ref="J2:J13" si="0">D2-C2-F2-E2-G2-H2-I2</f>
        <v>-100.1</v>
      </c>
      <c r="L2" s="5">
        <f>COUNTA(A:A)-1</f>
        <v>12</v>
      </c>
      <c r="M2" s="5">
        <f>COUNTIF(D:D,"&gt;0")</f>
        <v>2</v>
      </c>
      <c r="N2" s="5">
        <f>COUNTIF(D:D,"0")</f>
        <v>10</v>
      </c>
    </row>
    <row r="3" spans="1:15" ht="15.75" x14ac:dyDescent="0.25">
      <c r="A3" s="2">
        <f t="shared" ref="A3:A8" si="1">A2+1</f>
        <v>2</v>
      </c>
      <c r="B3" s="3">
        <v>45793</v>
      </c>
      <c r="C3" s="4">
        <v>100.1</v>
      </c>
      <c r="D3" s="4">
        <v>174.29</v>
      </c>
      <c r="E3" s="4">
        <v>4.3600000000000003</v>
      </c>
      <c r="F3" s="4">
        <v>0</v>
      </c>
      <c r="G3" s="4">
        <v>13.07</v>
      </c>
      <c r="H3" s="4">
        <v>17.43</v>
      </c>
      <c r="I3" s="4">
        <v>17.43</v>
      </c>
      <c r="J3" s="19">
        <f t="shared" si="0"/>
        <v>21.9</v>
      </c>
    </row>
    <row r="4" spans="1:15" ht="15.75" x14ac:dyDescent="0.25">
      <c r="A4" s="2">
        <f t="shared" si="1"/>
        <v>3</v>
      </c>
      <c r="B4" s="3">
        <v>45800</v>
      </c>
      <c r="C4" s="4">
        <v>100.1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19">
        <f t="shared" si="0"/>
        <v>-100.1</v>
      </c>
    </row>
    <row r="5" spans="1:15" ht="15.75" x14ac:dyDescent="0.25">
      <c r="A5" s="2">
        <f t="shared" si="1"/>
        <v>4</v>
      </c>
      <c r="B5" s="3">
        <v>45807</v>
      </c>
      <c r="C5" s="4">
        <v>100.1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19">
        <f t="shared" si="0"/>
        <v>-100.1</v>
      </c>
    </row>
    <row r="6" spans="1:15" ht="15.75" x14ac:dyDescent="0.25">
      <c r="A6" s="2">
        <f t="shared" si="1"/>
        <v>5</v>
      </c>
      <c r="B6" s="3">
        <v>45814</v>
      </c>
      <c r="C6" s="4">
        <v>100.1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19">
        <f t="shared" si="0"/>
        <v>-100.1</v>
      </c>
    </row>
    <row r="7" spans="1:15" ht="15.75" x14ac:dyDescent="0.25">
      <c r="A7" s="2">
        <f t="shared" si="1"/>
        <v>6</v>
      </c>
      <c r="B7" s="3">
        <v>45821</v>
      </c>
      <c r="C7" s="4">
        <v>100.1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19">
        <f t="shared" si="0"/>
        <v>-100.1</v>
      </c>
    </row>
    <row r="8" spans="1:15" ht="15.75" x14ac:dyDescent="0.25">
      <c r="A8" s="2">
        <f t="shared" si="1"/>
        <v>7</v>
      </c>
      <c r="B8" s="3">
        <v>45828</v>
      </c>
      <c r="C8" s="4">
        <v>100.1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19">
        <f t="shared" si="0"/>
        <v>-100.1</v>
      </c>
    </row>
    <row r="9" spans="1:15" ht="15.75" x14ac:dyDescent="0.25">
      <c r="A9" s="2">
        <f>A8+1</f>
        <v>8</v>
      </c>
      <c r="B9" s="3">
        <v>45835</v>
      </c>
      <c r="C9" s="4">
        <v>100.1</v>
      </c>
      <c r="D9" s="4">
        <v>637.79</v>
      </c>
      <c r="E9" s="4">
        <v>31.88</v>
      </c>
      <c r="F9" s="4">
        <v>15.94</v>
      </c>
      <c r="G9" s="4">
        <v>47.83</v>
      </c>
      <c r="H9" s="4">
        <v>31.88</v>
      </c>
      <c r="I9" s="4">
        <v>63.78</v>
      </c>
      <c r="J9" s="19">
        <f t="shared" si="0"/>
        <v>346.37999999999988</v>
      </c>
    </row>
    <row r="10" spans="1:15" ht="15.75" x14ac:dyDescent="0.25">
      <c r="A10" s="2">
        <f>A9+1</f>
        <v>9</v>
      </c>
      <c r="B10" s="3">
        <v>45842</v>
      </c>
      <c r="C10" s="4">
        <v>100.1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19">
        <f t="shared" si="0"/>
        <v>-100.1</v>
      </c>
    </row>
    <row r="11" spans="1:15" ht="15.75" x14ac:dyDescent="0.25">
      <c r="A11" s="2">
        <f>A10+1</f>
        <v>10</v>
      </c>
      <c r="B11" s="3">
        <v>45849</v>
      </c>
      <c r="C11" s="4">
        <v>100.1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19">
        <f t="shared" si="0"/>
        <v>-100.1</v>
      </c>
    </row>
    <row r="12" spans="1:15" ht="15.75" x14ac:dyDescent="0.25">
      <c r="A12" s="2">
        <f>A11+1</f>
        <v>11</v>
      </c>
      <c r="B12" s="3">
        <v>45856</v>
      </c>
      <c r="C12" s="4">
        <v>100.1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19">
        <f t="shared" si="0"/>
        <v>-100.1</v>
      </c>
    </row>
    <row r="13" spans="1:15" ht="15.75" x14ac:dyDescent="0.25">
      <c r="A13" s="2">
        <f>A12+1</f>
        <v>12</v>
      </c>
      <c r="B13" s="3">
        <v>45863</v>
      </c>
      <c r="C13" s="4">
        <v>100.1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19">
        <f t="shared" si="0"/>
        <v>-100.1</v>
      </c>
    </row>
  </sheetData>
  <autoFilter ref="J1:J2" xr:uid="{D1BCF058-FE04-46AA-A705-935E602EA711}"/>
  <phoneticPr fontId="14" type="noConversion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2025-07-31T06:56:54Z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