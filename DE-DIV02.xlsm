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00000000-0000-0000-0000-0000000000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30" documentId="13_ncr:1_{32BD3745-769A-4363-92E4-3EACA8D86657}" xr6:coauthVersionLast="47" xr6:coauthVersionMax="47" xr10:uidLastSave="{509DC024-8972-9747-B9F9-13E870FB6AE8}"/>
  <bookViews>
    <workbookView xWindow="11895" yWindow="0" windowWidth="12210" windowHeight="12885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1" l="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4" i="12"/>
  <c r="L24" i="12"/>
  <c r="J23" i="12"/>
  <c r="L23" i="12"/>
  <c r="J22" i="12"/>
  <c r="L22" i="12"/>
  <c r="J21" i="12"/>
  <c r="L21" i="12"/>
  <c r="N2" i="11"/>
  <c r="F13" i="12"/>
  <c r="M2" i="11"/>
  <c r="F12" i="12"/>
  <c r="L2" i="11"/>
  <c r="F14" i="12"/>
  <c r="F11" i="12"/>
</calcChain>
</file>

<file path=xl/sharedStrings.xml><?xml version="1.0" encoding="utf-8"?>
<sst xmlns="http://schemas.openxmlformats.org/spreadsheetml/2006/main" count="46" uniqueCount="36">
  <si>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</si>
  <si>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</si>
  <si>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</si>
  <si>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</si>
  <si>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</si>
  <si>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</si>
  <si>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</si>
  <si>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</si>
  <si>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</si>
  <si>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</si>
  <si>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</si>
  <si>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</si>
  <si>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</si>
  <si>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</si>
  <si>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</si>
  <si>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</si>
  <si>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</si>
  <si>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</si>
  <si>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</si>
  <si>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</si>
  <si>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</si>
  <si>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</si>
  <si>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</si>
  <si>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</si>
  <si>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</si>
  <si>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</si>
  <si>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</si>
  <si>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</si>
  <si>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</si>
  <si>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</si>
  <si>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+ 1</t>
  </si>
  <si>
    <t>+ 3</t>
  </si>
  <si>
    <t>+ 2</t>
  </si>
  <si>
    <t>Stand: 07.08.2025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</si>
</sst>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4" totalsRowShown="0" headerRowDxfId="14" dataDxfId="13">
  <autoFilter ref="A1:I1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G6" sqref="G6:I7"/>
    </sheetView>
  </sheetViews>
  <sheetFormatPr defaultColWidth="10.76171875" defaultRowHeight="15" x14ac:dyDescent="0.2"/>
  <cols>
    <col min="1" max="1" width="12.64453125" customWidth="1"/>
    <col min="2" max="3" width="12.5078125" customWidth="1"/>
    <col min="4" max="4" width="12.64453125" customWidth="1"/>
    <col min="5" max="5" width="12.5078125" customWidth="1"/>
    <col min="6" max="6" width="12.64453125" customWidth="1"/>
    <col min="7" max="8" width="12.5078125" customWidth="1"/>
    <col min="9" max="11" width="12.64453125" customWidth="1"/>
    <col min="12" max="14" width="12.5078125" customWidth="1"/>
    <col min="15" max="15" width="12.64453125" customWidth="1"/>
    <col min="16" max="16" width="12.5078125" customWidth="1"/>
    <col min="17" max="17" width="17.08203125" bestFit="1" customWidth="1"/>
    <col min="18" max="18" width="17.21875" bestFit="1" customWidth="1"/>
    <col min="19" max="19" width="5.6484375" customWidth="1"/>
    <col min="20" max="20" width="13.85546875" bestFit="1" customWidth="1"/>
  </cols>
  <sheetData>
    <row r="1" spans="1:24" ht="14.45" customHeight="1" x14ac:dyDescent="0.2">
      <c r="A1" s="15"/>
      <c r="B1" s="15"/>
      <c r="C1" s="40" t="s">
        <v>22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">
      <c r="A2" s="15"/>
      <c r="B2" s="15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">
      <c r="A3" s="15"/>
      <c r="B3" s="15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">
      <c r="A4" s="15"/>
      <c r="B4" s="15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">
      <c r="A5" s="15"/>
      <c r="B5" s="15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">
      <c r="A6" s="15"/>
      <c r="B6" s="15"/>
      <c r="C6" s="15"/>
      <c r="D6" s="15"/>
      <c r="E6" s="15"/>
      <c r="F6" s="15"/>
      <c r="G6" s="41" t="s">
        <v>33</v>
      </c>
      <c r="H6" s="42"/>
      <c r="I6" s="42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45">
      <c r="A7" s="7"/>
      <c r="B7" s="7"/>
      <c r="C7" s="7"/>
      <c r="D7" s="7"/>
      <c r="E7" s="7"/>
      <c r="F7" s="7"/>
      <c r="G7" s="42"/>
      <c r="H7" s="42"/>
      <c r="I7" s="42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">
      <c r="A10" s="30" t="s">
        <v>15</v>
      </c>
      <c r="B10" s="30"/>
      <c r="C10" s="30"/>
      <c r="D10" s="30"/>
      <c r="E10" s="30"/>
      <c r="F10" s="30"/>
      <c r="G10" s="30"/>
      <c r="H10" s="30"/>
      <c r="I10" s="3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7.25" x14ac:dyDescent="0.2">
      <c r="A11" s="43" t="s">
        <v>11</v>
      </c>
      <c r="B11" s="43"/>
      <c r="C11" s="43"/>
      <c r="D11" s="43"/>
      <c r="E11" s="43"/>
      <c r="F11" s="43">
        <f>Finanzen!L2</f>
        <v>13</v>
      </c>
      <c r="G11" s="43"/>
      <c r="H11" s="43"/>
      <c r="I11" s="43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">
      <c r="A12" s="43" t="s">
        <v>18</v>
      </c>
      <c r="B12" s="43"/>
      <c r="C12" s="43"/>
      <c r="D12" s="43"/>
      <c r="E12" s="43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7.25" x14ac:dyDescent="0.2">
      <c r="A13" s="43" t="s">
        <v>19</v>
      </c>
      <c r="B13" s="43"/>
      <c r="C13" s="43"/>
      <c r="D13" s="43"/>
      <c r="E13" s="43"/>
      <c r="F13" s="31">
        <f>Finanzen!N2</f>
        <v>11</v>
      </c>
      <c r="G13" s="31"/>
      <c r="H13" s="31"/>
      <c r="I13" s="3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7.25" x14ac:dyDescent="0.2">
      <c r="A14" s="43" t="s">
        <v>6</v>
      </c>
      <c r="B14" s="43"/>
      <c r="C14" s="43"/>
      <c r="D14" s="43"/>
      <c r="E14" s="43"/>
      <c r="F14" s="43" t="str">
        <f>TEXT(Finanzen!M2/Finanzen!L2,"0,00%")</f>
        <v>15,38%</v>
      </c>
      <c r="G14" s="43"/>
      <c r="H14" s="43"/>
      <c r="I14" s="43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7.25" x14ac:dyDescent="0.2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7.25" x14ac:dyDescent="0.2">
      <c r="A16" s="30" t="s">
        <v>16</v>
      </c>
      <c r="B16" s="30"/>
      <c r="C16" s="30"/>
      <c r="D16" s="30"/>
      <c r="E16" s="30"/>
      <c r="F16" s="30"/>
      <c r="G16" s="30"/>
      <c r="H16" s="30"/>
      <c r="I16" s="3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7.25" x14ac:dyDescent="0.7">
      <c r="A17" s="43" t="s">
        <v>10</v>
      </c>
      <c r="B17" s="43"/>
      <c r="C17" s="43"/>
      <c r="D17" s="43"/>
      <c r="E17" s="43"/>
      <c r="F17" s="22">
        <f>SUM(Finanzen!D:D)</f>
        <v>812.07999999999993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7.25" x14ac:dyDescent="0.7">
      <c r="A18" s="43" t="s">
        <v>21</v>
      </c>
      <c r="B18" s="43"/>
      <c r="C18" s="43"/>
      <c r="D18" s="43"/>
      <c r="E18" s="43"/>
      <c r="F18" s="26">
        <f>2002 + SUM(Finanzen!J:J)</f>
        <v>1269.1799999999998</v>
      </c>
      <c r="G18" s="27"/>
      <c r="H18" s="27"/>
      <c r="I18" s="2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8" thickBot="1" x14ac:dyDescent="0.25">
      <c r="A19" s="30" t="s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x14ac:dyDescent="0.7">
      <c r="A20" s="35" t="s">
        <v>14</v>
      </c>
      <c r="B20" s="36"/>
      <c r="C20" s="37" t="s">
        <v>4</v>
      </c>
      <c r="D20" s="38"/>
      <c r="E20" s="39"/>
      <c r="F20" s="25" t="s">
        <v>12</v>
      </c>
      <c r="G20" s="24"/>
      <c r="H20" s="25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7.25" x14ac:dyDescent="0.7">
      <c r="A21" s="28">
        <v>1</v>
      </c>
      <c r="B21" s="29"/>
      <c r="C21" s="32" t="s">
        <v>25</v>
      </c>
      <c r="D21" s="33"/>
      <c r="E21" s="34"/>
      <c r="F21" s="13">
        <v>20</v>
      </c>
      <c r="G21" s="12" t="s">
        <v>30</v>
      </c>
      <c r="H21" s="14">
        <v>28</v>
      </c>
      <c r="I21" s="12" t="s">
        <v>31</v>
      </c>
      <c r="J21" s="14">
        <f>F21+H21</f>
        <v>48</v>
      </c>
      <c r="K21" s="12" t="s">
        <v>29</v>
      </c>
      <c r="L21" s="20" t="str">
        <f>TEXT(F21/J21,"0,00%")</f>
        <v>41,67%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7.25" x14ac:dyDescent="0.7">
      <c r="A22" s="28">
        <v>2</v>
      </c>
      <c r="B22" s="29"/>
      <c r="C22" s="32" t="s">
        <v>26</v>
      </c>
      <c r="D22" s="33"/>
      <c r="E22" s="34"/>
      <c r="F22" s="13">
        <v>15</v>
      </c>
      <c r="G22" s="12" t="s">
        <v>30</v>
      </c>
      <c r="H22" s="14">
        <v>33</v>
      </c>
      <c r="I22" s="12" t="s">
        <v>31</v>
      </c>
      <c r="J22" s="14">
        <f>F22+H22</f>
        <v>48</v>
      </c>
      <c r="K22" s="12" t="s">
        <v>29</v>
      </c>
      <c r="L22" s="20" t="str">
        <f>TEXT(F22/J22,"0,00%")</f>
        <v>31,25%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x14ac:dyDescent="0.7">
      <c r="A23" s="28">
        <v>3</v>
      </c>
      <c r="B23" s="29"/>
      <c r="C23" s="32" t="s">
        <v>24</v>
      </c>
      <c r="D23" s="33"/>
      <c r="E23" s="34"/>
      <c r="F23" s="13">
        <v>14</v>
      </c>
      <c r="G23" s="12" t="s">
        <v>30</v>
      </c>
      <c r="H23" s="14">
        <v>29</v>
      </c>
      <c r="I23" s="12" t="s">
        <v>31</v>
      </c>
      <c r="J23" s="14">
        <f>F23+H23</f>
        <v>43</v>
      </c>
      <c r="K23" s="12" t="s">
        <v>29</v>
      </c>
      <c r="L23" s="20" t="str">
        <f>TEXT(F23/J23,"0,00%")</f>
        <v>32,56%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x14ac:dyDescent="0.7">
      <c r="A24" s="28">
        <v>4</v>
      </c>
      <c r="B24" s="29"/>
      <c r="C24" s="32" t="s">
        <v>23</v>
      </c>
      <c r="D24" s="33"/>
      <c r="E24" s="34"/>
      <c r="F24" s="13">
        <v>12</v>
      </c>
      <c r="G24" s="12" t="s">
        <v>32</v>
      </c>
      <c r="H24" s="14">
        <v>32</v>
      </c>
      <c r="I24" s="12" t="s">
        <v>32</v>
      </c>
      <c r="J24" s="14">
        <f>F24+H24</f>
        <v>44</v>
      </c>
      <c r="K24" s="12" t="s">
        <v>29</v>
      </c>
      <c r="L24" s="20" t="str">
        <f>TEXT(F24/J24,"0,00%")</f>
        <v>27,27%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  <mergeCell ref="A22:B22"/>
    <mergeCell ref="A10:I10"/>
    <mergeCell ref="F13:I13"/>
    <mergeCell ref="A24:B24"/>
    <mergeCell ref="C22:E22"/>
    <mergeCell ref="A23:B23"/>
    <mergeCell ref="C23:E23"/>
    <mergeCell ref="C21:E21"/>
    <mergeCell ref="A20:B20"/>
    <mergeCell ref="C20:E20"/>
    <mergeCell ref="L21:M21"/>
    <mergeCell ref="L23:M23"/>
    <mergeCell ref="F17:I17"/>
    <mergeCell ref="L20:M20"/>
    <mergeCell ref="J20:K20"/>
    <mergeCell ref="L22:M22"/>
    <mergeCell ref="F20:G20"/>
    <mergeCell ref="F18:I18"/>
    <mergeCell ref="H20:I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4"/>
  <sheetViews>
    <sheetView zoomScale="90" zoomScaleNormal="90" workbookViewId="0">
      <pane ySplit="1" topLeftCell="A2" activePane="bottomLeft" state="frozen"/>
      <selection pane="bottomLeft" activeCell="J25" sqref="J25"/>
    </sheetView>
  </sheetViews>
  <sheetFormatPr defaultColWidth="9.14453125" defaultRowHeight="15" x14ac:dyDescent="0.2"/>
  <cols>
    <col min="1" max="1" width="11.296875" bestFit="1" customWidth="1"/>
    <col min="2" max="2" width="32.5546875" bestFit="1" customWidth="1"/>
    <col min="3" max="3" width="11.97265625" bestFit="1" customWidth="1"/>
    <col min="4" max="4" width="12.64453125" bestFit="1" customWidth="1"/>
    <col min="5" max="5" width="10.76171875" bestFit="1" customWidth="1"/>
    <col min="6" max="6" width="10.22265625" bestFit="1" customWidth="1"/>
    <col min="7" max="8" width="10.76171875" bestFit="1" customWidth="1"/>
    <col min="10" max="10" width="10.89453125" bestFit="1" customWidth="1"/>
    <col min="12" max="12" width="9.28125" bestFit="1" customWidth="1"/>
    <col min="13" max="13" width="13.1796875" bestFit="1" customWidth="1"/>
    <col min="14" max="14" width="11.296875" bestFit="1" customWidth="1"/>
    <col min="15" max="15" width="10.76171875" bestFit="1" customWidth="1"/>
  </cols>
  <sheetData>
    <row r="1" spans="1:15" ht="16.149999999999999" customHeight="1" thickBo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5.75" thickTop="1" x14ac:dyDescent="0.2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4" si="0">D2-C2-F2-E2-G2-H2-I2</f>
        <v>-100.1</v>
      </c>
      <c r="L2" s="5">
        <f>COUNTA(A:A)-1</f>
        <v>13</v>
      </c>
      <c r="M2" s="5">
        <f>COUNTIF(D:D,"&gt;0")</f>
        <v>2</v>
      </c>
      <c r="N2" s="5">
        <f>COUNTIF(D:D,"0")</f>
        <v>11</v>
      </c>
    </row>
    <row r="3" spans="1:15" x14ac:dyDescent="0.2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x14ac:dyDescent="0.2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x14ac:dyDescent="0.2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x14ac:dyDescent="0.2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x14ac:dyDescent="0.2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x14ac:dyDescent="0.2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x14ac:dyDescent="0.2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x14ac:dyDescent="0.2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x14ac:dyDescent="0.2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x14ac:dyDescent="0.2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x14ac:dyDescent="0.2">
      <c r="A13" s="2">
        <f>A12+1</f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x14ac:dyDescent="0.2">
      <c r="A14" s="2">
        <f>A13+1</f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iOS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2025-07-31T06:56:54Z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