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5" documentId="13_ncr:1_{CCA05ED5-2A0D-4A8C-B6F5-632FDE30DEDF}" xr6:coauthVersionLast="47" xr6:coauthVersionMax="47" xr10:uidLastSave="{E8F2A0B4-60CB-43A2-8634-A5A814395161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" i="20" l="1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3" i="18"/>
  <c r="G22" i="18"/>
  <c r="G16" i="18"/>
  <c r="G15" i="18"/>
  <c r="G14" i="18"/>
  <c r="G12" i="18"/>
  <c r="G13" i="18"/>
  <c r="G46" i="18"/>
  <c r="G39" i="18"/>
  <c r="G38" i="18"/>
  <c r="G27" i="18"/>
  <c r="G24" i="18"/>
  <c r="G35" i="18"/>
  <c r="G18" i="18"/>
  <c r="G34" i="18"/>
  <c r="G30" i="18"/>
  <c r="G31" i="18"/>
  <c r="G32" i="18"/>
  <c r="G33" i="18"/>
  <c r="G37" i="18"/>
  <c r="G17" i="18"/>
  <c r="G29" i="18"/>
  <c r="G36" i="18"/>
  <c r="G42" i="18"/>
  <c r="G28" i="18"/>
  <c r="G44" i="18"/>
  <c r="G41" i="18"/>
  <c r="G40" i="18"/>
  <c r="G26" i="18"/>
  <c r="G45" i="18"/>
  <c r="G21" i="18"/>
  <c r="G25" i="18"/>
  <c r="G20" i="18"/>
  <c r="G43" i="18"/>
  <c r="G19" i="18"/>
  <c r="E12" i="21"/>
</calcChain>
</file>

<file path=xl/sharedStrings.xml><?xml version="1.0" encoding="utf-8"?>
<sst xmlns="http://schemas.openxmlformats.org/spreadsheetml/2006/main" count="306" uniqueCount="43">
  <si>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</si>
  <si>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</si>
  <si>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</si>
  <si>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</si>
  <si>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</si>
  <si>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</si>
  <si>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</si>
  <si>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</si>
  <si>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</si>
  <si>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</si>
  <si>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</si>
  <si>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</si>
  <si>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</si>
  <si>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</si>
  <si>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</si>
  <si>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</si>
  <si>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</si>
  <si>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</si>
  <si>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</si>
  <si>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</si>
  <si>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</si>
  <si>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</si>
  <si>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</si>
  <si>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</si>
  <si>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</si>
  <si>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</si>
  <si>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</si>
  <si>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</si>
  <si>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</si>
  <si>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</si>
  <si>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</si>
  <si>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</si>
  <si>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</si>
  <si>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1. Halbzeit Sieg</t>
  </si>
  <si>
    <t>Ecuador 2</t>
  </si>
  <si>
    <t>Island 1</t>
  </si>
  <si>
    <t>Länderspiel Frauen</t>
  </si>
  <si>
    <t>1. Halbzeit HC 1</t>
  </si>
  <si>
    <t>USA 1</t>
  </si>
  <si>
    <t>Argentinien 1</t>
  </si>
  <si>
    <t>Belgien 1</t>
  </si>
  <si>
    <t>Torschütze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</si>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</sst>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6" totalsRowShown="0">
  <autoFilter ref="A11:G46" xr:uid="{C312ECBC-370A-48F5-9745-177D5CBECA62}"/>
  <sortState xmlns:xlrd2="http://schemas.microsoft.com/office/spreadsheetml/2017/richdata2" ref="A12:G46">
    <sortCondition ref="C11:C4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6" totalsRowShown="0">
  <autoFilter ref="A11:G46" xr:uid="{C312ECBC-370A-48F5-9745-177D5CBECA62}"/>
  <sortState xmlns:xlrd2="http://schemas.microsoft.com/office/spreadsheetml/2017/richdata2" ref="A12:G46">
    <sortCondition ref="C11:C4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6"/>
  <sheetViews>
    <sheetView showGridLines="0" tabSelected="1" zoomScaleNormal="100" workbookViewId="0">
      <pane ySplit="11" topLeftCell="A12" activePane="bottomLeft" state="frozen"/>
      <selection pane="bottomLeft" activeCell="I13" sqref="I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40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40</v>
      </c>
      <c r="D15" s="5" t="s">
        <v>21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40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30</v>
      </c>
      <c r="D17" s="5" t="s">
        <v>21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30</v>
      </c>
      <c r="D18" s="5" t="s">
        <v>32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16</v>
      </c>
      <c r="D21" s="5" t="s">
        <v>19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41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34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15</v>
      </c>
      <c r="D25" s="5" t="s">
        <v>14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15</v>
      </c>
      <c r="D26" s="5" t="s">
        <v>21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35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26</v>
      </c>
      <c r="D28" s="5" t="s">
        <v>19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29</v>
      </c>
      <c r="D29" s="5" t="s">
        <v>18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29</v>
      </c>
      <c r="D30" s="5" t="s">
        <v>21</v>
      </c>
      <c r="E30">
        <v>4</v>
      </c>
      <c r="F30">
        <v>1</v>
      </c>
      <c r="G30" s="6">
        <f>ROUND(F30/E30,2)</f>
        <v>0.25</v>
      </c>
    </row>
    <row r="31" spans="1:7" x14ac:dyDescent="0.25">
      <c r="A31" t="s">
        <v>9</v>
      </c>
      <c r="B31" t="s">
        <v>12</v>
      </c>
      <c r="C31" t="s">
        <v>29</v>
      </c>
      <c r="D31" s="5" t="s">
        <v>31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29</v>
      </c>
      <c r="D32" s="5" t="s">
        <v>19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9</v>
      </c>
      <c r="B33" t="s">
        <v>12</v>
      </c>
      <c r="C33" t="s">
        <v>29</v>
      </c>
      <c r="D33" s="5" t="s">
        <v>32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29</v>
      </c>
      <c r="D34" s="5" t="s">
        <v>14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33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28</v>
      </c>
      <c r="D36" s="5" t="s">
        <v>21</v>
      </c>
      <c r="E36">
        <v>3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28</v>
      </c>
      <c r="D37" s="5" t="s">
        <v>19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36</v>
      </c>
      <c r="D38" s="5" t="s">
        <v>37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36</v>
      </c>
      <c r="D39" s="5" t="s">
        <v>19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22</v>
      </c>
      <c r="D40" s="5" t="s">
        <v>23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24</v>
      </c>
      <c r="D41" s="5" t="s">
        <v>25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27</v>
      </c>
      <c r="D42" s="5" t="s">
        <v>21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17</v>
      </c>
      <c r="D43" s="5" t="s">
        <v>14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17</v>
      </c>
      <c r="D44" s="5" t="s">
        <v>23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20</v>
      </c>
      <c r="D45" s="5" t="s">
        <v>21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38</v>
      </c>
      <c r="D46" s="5" t="s">
        <v>21</v>
      </c>
      <c r="E46">
        <v>2</v>
      </c>
      <c r="F46">
        <v>1</v>
      </c>
      <c r="G46" s="6">
        <f>ROUND(F46/E46,2)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40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40</v>
      </c>
      <c r="D15" s="5" t="s">
        <v>21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40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30</v>
      </c>
      <c r="D17" s="5" t="s">
        <v>21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30</v>
      </c>
      <c r="D18" s="5" t="s">
        <v>32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16</v>
      </c>
      <c r="D21" s="5" t="s">
        <v>19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41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34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15</v>
      </c>
      <c r="D25" s="5" t="s">
        <v>14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15</v>
      </c>
      <c r="D26" s="5" t="s">
        <v>21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35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26</v>
      </c>
      <c r="D28" s="5" t="s">
        <v>19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29</v>
      </c>
      <c r="D29" s="5" t="s">
        <v>18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29</v>
      </c>
      <c r="D30" s="5" t="s">
        <v>21</v>
      </c>
      <c r="E30">
        <v>4</v>
      </c>
      <c r="F30">
        <v>1</v>
      </c>
      <c r="G30" s="6">
        <f>ROUND(F30/E30,2)</f>
        <v>0.25</v>
      </c>
    </row>
    <row r="31" spans="1:7" x14ac:dyDescent="0.25">
      <c r="A31" t="s">
        <v>9</v>
      </c>
      <c r="B31" t="s">
        <v>12</v>
      </c>
      <c r="C31" t="s">
        <v>29</v>
      </c>
      <c r="D31" s="5" t="s">
        <v>31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29</v>
      </c>
      <c r="D32" s="5" t="s">
        <v>19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9</v>
      </c>
      <c r="B33" t="s">
        <v>12</v>
      </c>
      <c r="C33" t="s">
        <v>29</v>
      </c>
      <c r="D33" s="5" t="s">
        <v>32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29</v>
      </c>
      <c r="D34" s="5" t="s">
        <v>14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33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28</v>
      </c>
      <c r="D36" s="5" t="s">
        <v>21</v>
      </c>
      <c r="E36">
        <v>3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28</v>
      </c>
      <c r="D37" s="5" t="s">
        <v>19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36</v>
      </c>
      <c r="D38" s="5" t="s">
        <v>37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36</v>
      </c>
      <c r="D39" s="5" t="s">
        <v>19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22</v>
      </c>
      <c r="D40" s="5" t="s">
        <v>23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24</v>
      </c>
      <c r="D41" s="5" t="s">
        <v>25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27</v>
      </c>
      <c r="D42" s="5" t="s">
        <v>21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17</v>
      </c>
      <c r="D43" s="5" t="s">
        <v>14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17</v>
      </c>
      <c r="D44" s="5" t="s">
        <v>23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20</v>
      </c>
      <c r="D45" s="5" t="s">
        <v>21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38</v>
      </c>
      <c r="D46" s="5" t="s">
        <v>21</v>
      </c>
      <c r="E46">
        <v>2</v>
      </c>
      <c r="F46">
        <v>1</v>
      </c>
      <c r="G46" s="6">
        <f>ROUND(F46/E46,2)</f>
        <v>0.5</v>
      </c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2025-08-09T09:38:01Z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