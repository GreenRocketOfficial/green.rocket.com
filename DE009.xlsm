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40" documentId="13_ncr:1_{CCA05ED5-2A0D-4A8C-B6F5-632FDE30DEDF}" xr6:coauthVersionLast="47" xr6:coauthVersionMax="47" xr10:uidLastSave="{B98DFE9E-E863-44F3-A479-8012B54587E2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9" i="20" l="1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9" i="18"/>
  <c r="G32" i="18"/>
  <c r="G31" i="18"/>
  <c r="G20" i="18"/>
  <c r="G17" i="18"/>
  <c r="G28" i="18"/>
  <c r="G13" i="18"/>
  <c r="G27" i="18"/>
  <c r="G23" i="18"/>
  <c r="G24" i="18"/>
  <c r="G25" i="18"/>
  <c r="G26" i="18"/>
  <c r="G30" i="18"/>
  <c r="G12" i="18"/>
  <c r="G22" i="18"/>
  <c r="G29" i="18"/>
  <c r="G35" i="18"/>
  <c r="G21" i="18"/>
  <c r="G37" i="18"/>
  <c r="G34" i="18"/>
  <c r="G33" i="18"/>
  <c r="G19" i="18"/>
  <c r="G38" i="18"/>
  <c r="G16" i="18"/>
  <c r="G18" i="18"/>
  <c r="G15" i="18"/>
  <c r="G36" i="18"/>
  <c r="G14" i="18"/>
  <c r="E12" i="21"/>
</calcChain>
</file>

<file path=xl/sharedStrings.xml><?xml version="1.0" encoding="utf-8"?>
<sst xmlns="http://schemas.openxmlformats.org/spreadsheetml/2006/main" count="250" uniqueCount="40">
  <si>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</si>
  <si>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</si>
  <si>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</si>
  <si>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</si>
  <si>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</si>
  <si>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</si>
  <si>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</si>
  <si>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</si>
  <si>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</si>
  <si>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</si>
  <si>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</si>
  <si>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</si>
  <si>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</si>
  <si>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</si>
  <si>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</si>
  <si>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</si>
  <si>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</si>
  <si>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</si>
  <si>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</si>
  <si>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</si>
  <si>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</si>
  <si>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</si>
  <si>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</si>
  <si>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</si>
  <si>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</si>
  <si>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</si>
  <si>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</si>
  <si>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</si>
  <si>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</si>
  <si>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</si>
  <si>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</si>
  <si>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</si>
  <si>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</si>
  <si>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1. Halbzeit Sieg</t>
  </si>
  <si>
    <t>Ecuador 2</t>
  </si>
  <si>
    <t>Island 1</t>
  </si>
  <si>
    <t>Länderspiel Frauen</t>
  </si>
  <si>
    <t>1. Halbzeit HC 1</t>
  </si>
  <si>
    <t>USA 1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</si>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</sst>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9" totalsRowShown="0">
  <autoFilter ref="A11:G39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9" totalsRowShown="0">
  <autoFilter ref="A11:G39" xr:uid="{C312ECBC-370A-48F5-9745-177D5CBECA62}"/>
  <sortState xmlns:xlrd2="http://schemas.microsoft.com/office/spreadsheetml/2017/richdata2" ref="A12:G36">
    <sortCondition ref="C11:C3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26" sqref="A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2</v>
      </c>
      <c r="F12">
        <v>2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30</v>
      </c>
      <c r="D13" s="5" t="s">
        <v>32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19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34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15</v>
      </c>
      <c r="D19" s="5" t="s">
        <v>21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19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29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29</v>
      </c>
      <c r="D23" s="5" t="s">
        <v>21</v>
      </c>
      <c r="E23">
        <v>4</v>
      </c>
      <c r="F23">
        <v>1</v>
      </c>
      <c r="G23" s="6">
        <f>ROUND(F23/E23,2)</f>
        <v>0.25</v>
      </c>
    </row>
    <row r="24" spans="1:7" x14ac:dyDescent="0.25">
      <c r="A24" t="s">
        <v>9</v>
      </c>
      <c r="B24" t="s">
        <v>12</v>
      </c>
      <c r="C24" t="s">
        <v>29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29</v>
      </c>
      <c r="D25" s="5" t="s">
        <v>19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29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14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29</v>
      </c>
      <c r="D28" s="5" t="s">
        <v>33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21</v>
      </c>
      <c r="E29">
        <v>3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28</v>
      </c>
      <c r="D30" s="5" t="s">
        <v>19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36</v>
      </c>
      <c r="D31" s="5" t="s">
        <v>37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36</v>
      </c>
      <c r="D32" s="5" t="s">
        <v>19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22</v>
      </c>
      <c r="D33" s="5" t="s">
        <v>23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24</v>
      </c>
      <c r="D34" s="5" t="s">
        <v>25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27</v>
      </c>
      <c r="D35" s="5" t="s">
        <v>21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17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17</v>
      </c>
      <c r="D37" s="5" t="s">
        <v>23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20</v>
      </c>
      <c r="D38" s="5" t="s">
        <v>21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38</v>
      </c>
      <c r="D39" s="5" t="s">
        <v>21</v>
      </c>
      <c r="E39">
        <v>2</v>
      </c>
      <c r="F39">
        <v>1</v>
      </c>
      <c r="G39" s="6">
        <f>ROUND(F39/E39,2)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2</v>
      </c>
      <c r="F12">
        <v>2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30</v>
      </c>
      <c r="D13" s="5" t="s">
        <v>32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19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34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15</v>
      </c>
      <c r="D19" s="5" t="s">
        <v>21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19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29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29</v>
      </c>
      <c r="D23" s="5" t="s">
        <v>21</v>
      </c>
      <c r="E23">
        <v>4</v>
      </c>
      <c r="F23">
        <v>1</v>
      </c>
      <c r="G23" s="6">
        <f>ROUND(F23/E23,2)</f>
        <v>0.25</v>
      </c>
    </row>
    <row r="24" spans="1:7" x14ac:dyDescent="0.25">
      <c r="A24" t="s">
        <v>9</v>
      </c>
      <c r="B24" t="s">
        <v>12</v>
      </c>
      <c r="C24" t="s">
        <v>29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29</v>
      </c>
      <c r="D25" s="5" t="s">
        <v>19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29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14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29</v>
      </c>
      <c r="D28" s="5" t="s">
        <v>33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21</v>
      </c>
      <c r="E29">
        <v>3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28</v>
      </c>
      <c r="D30" s="5" t="s">
        <v>19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36</v>
      </c>
      <c r="D31" s="5" t="s">
        <v>37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36</v>
      </c>
      <c r="D32" s="5" t="s">
        <v>19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22</v>
      </c>
      <c r="D33" s="5" t="s">
        <v>23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24</v>
      </c>
      <c r="D34" s="5" t="s">
        <v>25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27</v>
      </c>
      <c r="D35" s="5" t="s">
        <v>21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17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17</v>
      </c>
      <c r="D37" s="5" t="s">
        <v>23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20</v>
      </c>
      <c r="D38" s="5" t="s">
        <v>21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38</v>
      </c>
      <c r="D39" s="5" t="s">
        <v>21</v>
      </c>
      <c r="E39">
        <v>2</v>
      </c>
      <c r="F39">
        <v>1</v>
      </c>
      <c r="G39" s="6">
        <f>ROUND(F39/E39,2)</f>
        <v>0.5</v>
      </c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2025-07-15T11:54:46Z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