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15" documentId="13_ncr:1_{CCA05ED5-2A0D-4A8C-B6F5-632FDE30DEDF}" xr6:coauthVersionLast="47" xr6:coauthVersionMax="47" xr10:uidLastSave="{63D6430E-3706-4A7B-A679-FEDE81D0656F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" i="20" l="1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0" i="18"/>
  <c r="G17" i="18"/>
  <c r="G28" i="18"/>
  <c r="G13" i="18"/>
  <c r="G27" i="18"/>
  <c r="G23" i="18"/>
  <c r="G24" i="18"/>
  <c r="G25" i="18"/>
  <c r="G26" i="18"/>
  <c r="G30" i="18"/>
  <c r="G12" i="18"/>
  <c r="G22" i="18"/>
  <c r="G29" i="18"/>
  <c r="G33" i="18"/>
  <c r="G21" i="18"/>
  <c r="G35" i="18"/>
  <c r="G32" i="18"/>
  <c r="G31" i="18"/>
  <c r="G19" i="18"/>
  <c r="G36" i="18"/>
  <c r="G16" i="18"/>
  <c r="G18" i="18"/>
  <c r="G15" i="18"/>
  <c r="G34" i="18"/>
  <c r="G14" i="18"/>
  <c r="E12" i="21"/>
</calcChain>
</file>

<file path=xl/sharedStrings.xml><?xml version="1.0" encoding="utf-8"?>
<sst xmlns="http://schemas.openxmlformats.org/spreadsheetml/2006/main" count="226" uniqueCount="37">
  <si>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</si>
  <si>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</si>
  <si>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</si>
  <si>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</si>
  <si>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</si>
  <si>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</si>
  <si>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</si>
  <si>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</si>
  <si>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DE009 All Time-Trefferquoten</t>
  </si>
  <si>
    <t>DE009</t>
  </si>
  <si>
    <t>DE009 Saison-Trefferquoten</t>
  </si>
  <si>
    <t>DE009 Strategie</t>
  </si>
  <si>
    <t>Fußball</t>
  </si>
  <si>
    <t>Deutschland 1</t>
  </si>
  <si>
    <t>Sieg</t>
  </si>
  <si>
    <t>England 1</t>
  </si>
  <si>
    <t>Deutschland 2</t>
  </si>
  <si>
    <t>Spanien 1</t>
  </si>
  <si>
    <t>Unentschieden</t>
  </si>
  <si>
    <t>HC 1</t>
  </si>
  <si>
    <t>Spanien 2</t>
  </si>
  <si>
    <t>Über X Tore &amp; Sieg</t>
  </si>
  <si>
    <t>Landespokal</t>
  </si>
  <si>
    <t>Torschütze &amp; Sieg</t>
  </si>
  <si>
    <t>Relegation</t>
  </si>
  <si>
    <t>Über X Tore &amp; Doppelte Chance</t>
  </si>
  <si>
    <t>Italien 1</t>
  </si>
  <si>
    <t>Schweden 1</t>
  </si>
  <si>
    <t>Länderspiel</t>
  </si>
  <si>
    <t>Klub-WM</t>
  </si>
  <si>
    <t>Concacaf Cup</t>
  </si>
  <si>
    <t>Beide treffen &amp; Sieg</t>
  </si>
  <si>
    <t>HC 2</t>
  </si>
  <si>
    <t>1. Halbzeit Sieg</t>
  </si>
  <si>
    <t>Ecuador 2</t>
  </si>
  <si>
    <t>Island 1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</si>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</sst>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6" totalsRowShown="0">
  <autoFilter ref="A11:G36" xr:uid="{C312ECBC-370A-48F5-9745-177D5CBECA62}"/>
  <sortState xmlns:xlrd2="http://schemas.microsoft.com/office/spreadsheetml/2017/richdata2" ref="A12:G36">
    <sortCondition ref="C11:C3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6" totalsRowShown="0">
  <autoFilter ref="A11:G36" xr:uid="{C312ECBC-370A-48F5-9745-177D5CBECA62}"/>
  <sortState xmlns:xlrd2="http://schemas.microsoft.com/office/spreadsheetml/2017/richdata2" ref="A12:G36">
    <sortCondition ref="C11:C3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6"/>
  <sheetViews>
    <sheetView showGridLines="0" tabSelected="1" zoomScaleNormal="100" workbookViewId="0">
      <pane ySplit="11" topLeftCell="A12" activePane="bottomLeft" state="frozen"/>
      <selection pane="bottomLeft" activeCell="E30" sqref="E3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30</v>
      </c>
      <c r="D12" s="5" t="s">
        <v>21</v>
      </c>
      <c r="E12">
        <v>2</v>
      </c>
      <c r="F12">
        <v>2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30</v>
      </c>
      <c r="D13" s="5" t="s">
        <v>32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18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16</v>
      </c>
      <c r="D16" s="5" t="s">
        <v>19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34</v>
      </c>
      <c r="D17" s="5" t="s">
        <v>18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15</v>
      </c>
      <c r="D18" s="5" t="s">
        <v>14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15</v>
      </c>
      <c r="D19" s="5" t="s">
        <v>21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35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26</v>
      </c>
      <c r="D21" s="5" t="s">
        <v>19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29</v>
      </c>
      <c r="D22" s="5" t="s">
        <v>18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29</v>
      </c>
      <c r="D23" s="5" t="s">
        <v>21</v>
      </c>
      <c r="E23">
        <v>4</v>
      </c>
      <c r="F23">
        <v>1</v>
      </c>
      <c r="G23" s="6">
        <f>ROUND(F23/E23,2)</f>
        <v>0.25</v>
      </c>
    </row>
    <row r="24" spans="1:7" x14ac:dyDescent="0.25">
      <c r="A24" t="s">
        <v>9</v>
      </c>
      <c r="B24" t="s">
        <v>12</v>
      </c>
      <c r="C24" t="s">
        <v>29</v>
      </c>
      <c r="D24" s="5" t="s">
        <v>31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29</v>
      </c>
      <c r="D25" s="5" t="s">
        <v>19</v>
      </c>
      <c r="E25">
        <v>2</v>
      </c>
      <c r="F25">
        <v>1</v>
      </c>
      <c r="G25" s="6">
        <f>ROUND(F25/E25,2)</f>
        <v>0.5</v>
      </c>
    </row>
    <row r="26" spans="1:7" x14ac:dyDescent="0.25">
      <c r="A26" t="s">
        <v>9</v>
      </c>
      <c r="B26" t="s">
        <v>12</v>
      </c>
      <c r="C26" t="s">
        <v>29</v>
      </c>
      <c r="D26" s="5" t="s">
        <v>32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29</v>
      </c>
      <c r="D27" s="5" t="s">
        <v>14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29</v>
      </c>
      <c r="D28" s="5" t="s">
        <v>33</v>
      </c>
      <c r="E28">
        <v>2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28</v>
      </c>
      <c r="D29" s="5" t="s">
        <v>21</v>
      </c>
      <c r="E29">
        <v>3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28</v>
      </c>
      <c r="D30" s="5" t="s">
        <v>19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22</v>
      </c>
      <c r="D31" s="5" t="s">
        <v>23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24</v>
      </c>
      <c r="D32" s="5" t="s">
        <v>25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27</v>
      </c>
      <c r="D33" s="5" t="s">
        <v>21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17</v>
      </c>
      <c r="D34" s="5" t="s">
        <v>14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17</v>
      </c>
      <c r="D35" s="5" t="s">
        <v>23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20</v>
      </c>
      <c r="D36" s="5" t="s">
        <v>21</v>
      </c>
      <c r="E36">
        <v>1</v>
      </c>
      <c r="F36">
        <v>0</v>
      </c>
      <c r="G36" s="6">
        <f>ROUND(F36/E36,2)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4" sqref="B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30</v>
      </c>
      <c r="D12" s="5" t="s">
        <v>21</v>
      </c>
      <c r="E12">
        <v>2</v>
      </c>
      <c r="F12">
        <v>2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30</v>
      </c>
      <c r="D13" s="5" t="s">
        <v>32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18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16</v>
      </c>
      <c r="D16" s="5" t="s">
        <v>19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34</v>
      </c>
      <c r="D17" s="5" t="s">
        <v>18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15</v>
      </c>
      <c r="D18" s="5" t="s">
        <v>14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15</v>
      </c>
      <c r="D19" s="5" t="s">
        <v>21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35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26</v>
      </c>
      <c r="D21" s="5" t="s">
        <v>19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29</v>
      </c>
      <c r="D22" s="5" t="s">
        <v>18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29</v>
      </c>
      <c r="D23" s="5" t="s">
        <v>21</v>
      </c>
      <c r="E23">
        <v>4</v>
      </c>
      <c r="F23">
        <v>1</v>
      </c>
      <c r="G23" s="6">
        <f>ROUND(F23/E23,2)</f>
        <v>0.25</v>
      </c>
    </row>
    <row r="24" spans="1:7" x14ac:dyDescent="0.25">
      <c r="A24" t="s">
        <v>9</v>
      </c>
      <c r="B24" t="s">
        <v>12</v>
      </c>
      <c r="C24" t="s">
        <v>29</v>
      </c>
      <c r="D24" s="5" t="s">
        <v>31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29</v>
      </c>
      <c r="D25" s="5" t="s">
        <v>19</v>
      </c>
      <c r="E25">
        <v>2</v>
      </c>
      <c r="F25">
        <v>1</v>
      </c>
      <c r="G25" s="6">
        <f>ROUND(F25/E25,2)</f>
        <v>0.5</v>
      </c>
    </row>
    <row r="26" spans="1:7" x14ac:dyDescent="0.25">
      <c r="A26" t="s">
        <v>9</v>
      </c>
      <c r="B26" t="s">
        <v>12</v>
      </c>
      <c r="C26" t="s">
        <v>29</v>
      </c>
      <c r="D26" s="5" t="s">
        <v>32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29</v>
      </c>
      <c r="D27" s="5" t="s">
        <v>14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29</v>
      </c>
      <c r="D28" s="5" t="s">
        <v>33</v>
      </c>
      <c r="E28">
        <v>2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28</v>
      </c>
      <c r="D29" s="5" t="s">
        <v>21</v>
      </c>
      <c r="E29">
        <v>3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28</v>
      </c>
      <c r="D30" s="5" t="s">
        <v>19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22</v>
      </c>
      <c r="D31" s="5" t="s">
        <v>23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24</v>
      </c>
      <c r="D32" s="5" t="s">
        <v>25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27</v>
      </c>
      <c r="D33" s="5" t="s">
        <v>21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17</v>
      </c>
      <c r="D34" s="5" t="s">
        <v>14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17</v>
      </c>
      <c r="D35" s="5" t="s">
        <v>23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20</v>
      </c>
      <c r="D36" s="5" t="s">
        <v>21</v>
      </c>
      <c r="E36">
        <v>1</v>
      </c>
      <c r="F36">
        <v>0</v>
      </c>
      <c r="G36" s="6">
        <f>ROUND(F36/E36,2)</f>
        <v>0</v>
      </c>
    </row>
    <row r="37" spans="1:7" x14ac:dyDescent="0.25">
      <c r="G37" s="6"/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2025-07-09T17:45:40Z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