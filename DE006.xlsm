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89" documentId="13_ncr:1_{CCA05ED5-2A0D-4A8C-B6F5-632FDE30DEDF}" xr6:coauthVersionLast="47" xr6:coauthVersionMax="47" xr10:uidLastSave="{7248991D-E646-4469-8B2D-A1AC6D0148F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20" l="1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7" i="18"/>
  <c r="G12" i="18"/>
  <c r="G17" i="18"/>
  <c r="G39" i="18"/>
  <c r="G48" i="18"/>
  <c r="G34" i="18"/>
  <c r="G25" i="18"/>
  <c r="G16" i="18"/>
  <c r="G21" i="18"/>
  <c r="G20" i="18"/>
  <c r="G15" i="18"/>
  <c r="G26" i="18"/>
  <c r="G24" i="18"/>
  <c r="G13" i="18"/>
  <c r="G14" i="18"/>
  <c r="G33" i="18"/>
  <c r="G32" i="18"/>
  <c r="G50" i="18"/>
  <c r="G45" i="18"/>
  <c r="G41" i="18"/>
  <c r="G37" i="18"/>
  <c r="G23" i="18"/>
  <c r="G52" i="18"/>
  <c r="G36" i="18"/>
  <c r="G19" i="18"/>
  <c r="G35" i="18"/>
  <c r="G51" i="18"/>
  <c r="G46" i="18"/>
  <c r="G49" i="18"/>
  <c r="G29" i="18"/>
  <c r="G18" i="18"/>
  <c r="G42" i="18"/>
  <c r="G31" i="18"/>
  <c r="G22" i="18"/>
  <c r="G38" i="18"/>
  <c r="G30" i="18"/>
  <c r="G44" i="18"/>
  <c r="G28" i="18"/>
  <c r="G40" i="18"/>
  <c r="G43" i="18"/>
  <c r="G27" i="18"/>
  <c r="E12" i="21"/>
</calcChain>
</file>

<file path=xl/sharedStrings.xml><?xml version="1.0" encoding="utf-8"?>
<sst xmlns="http://schemas.openxmlformats.org/spreadsheetml/2006/main" count="354" uniqueCount="53">
  <si>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</si>
  <si>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</si>
  <si>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</si>
  <si>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</si>
  <si>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</si>
  <si>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</si>
  <si>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</si>
  <si>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</si>
  <si>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</si>
  <si>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</si>
  <si>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</si>
  <si>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</si>
  <si>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</si>
  <si>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</si>
  <si>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</si>
  <si>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</si>
  <si>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</si>
  <si>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</si>
  <si>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</si>
  <si>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</si>
  <si>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</si>
  <si>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</si>
  <si>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</si>
  <si>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</si>
  <si>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</si>
  <si>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</si>
  <si>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</si>
  <si>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</si>
  <si>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</si>
  <si>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</si>
  <si>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</si>
  <si>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</si>
  <si>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</si>
  <si>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</si>
  <si>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</si>
  <si>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</si>
  <si>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</si>
  <si>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</si>
  <si>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</si>
  <si>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</si>
  <si>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</si>
  <si>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</si>
  <si>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Dänemark 2</t>
  </si>
  <si>
    <t>Belgien 1</t>
  </si>
  <si>
    <t>Champions League</t>
  </si>
  <si>
    <t>Dänemark 1</t>
  </si>
  <si>
    <t>Japan 2</t>
  </si>
  <si>
    <t>Südkorea 1</t>
  </si>
  <si>
    <t>Belgien 2</t>
  </si>
  <si>
    <t>Argentinien 1</t>
  </si>
  <si>
    <t>Spanien 1</t>
  </si>
  <si>
    <t>Beide treffen &amp; Doppelte Chance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</si>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</sst>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2" totalsRowShown="0">
  <autoFilter ref="A11:G52" xr:uid="{C312ECBC-370A-48F5-9745-177D5CBECA62}"/>
  <sortState xmlns:xlrd2="http://schemas.microsoft.com/office/spreadsheetml/2017/richdata2" ref="A12:G52">
    <sortCondition ref="C11:C5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2" totalsRowShown="0">
  <autoFilter ref="A11:G52" xr:uid="{C312ECBC-370A-48F5-9745-177D5CBECA62}"/>
  <sortState xmlns:xlrd2="http://schemas.microsoft.com/office/spreadsheetml/2017/richdata2" ref="A12:G48">
    <sortCondition ref="C11:C4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2"/>
  <sheetViews>
    <sheetView showGridLines="0" tabSelected="1" zoomScaleNormal="100" workbookViewId="0">
      <pane ySplit="11" topLeftCell="A12" activePane="bottomLeft" state="frozen"/>
      <selection pane="bottomLeft" activeCell="E47" sqref="E4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49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40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39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43</v>
      </c>
      <c r="D16" s="5" t="s">
        <v>18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48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32</v>
      </c>
      <c r="D19" s="5" t="s">
        <v>14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44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44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22</v>
      </c>
      <c r="D23" s="5" t="s">
        <v>34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41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45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42</v>
      </c>
      <c r="D26" s="5" t="s">
        <v>18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13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15</v>
      </c>
      <c r="D28" s="5" t="s">
        <v>18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14</v>
      </c>
      <c r="E29">
        <v>3</v>
      </c>
      <c r="F29">
        <v>1</v>
      </c>
      <c r="G29" s="6">
        <f>ROUND(F29/E29,2)</f>
        <v>0.33</v>
      </c>
    </row>
    <row r="30" spans="1:7" x14ac:dyDescent="0.25">
      <c r="A30" t="s">
        <v>9</v>
      </c>
      <c r="B30" t="s">
        <v>12</v>
      </c>
      <c r="C30" t="s">
        <v>20</v>
      </c>
      <c r="D30" s="5" t="s">
        <v>14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23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23</v>
      </c>
      <c r="D32" s="5" t="s">
        <v>18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38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46</v>
      </c>
      <c r="D34" s="5" t="s">
        <v>34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31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9</v>
      </c>
      <c r="B36" t="s">
        <v>12</v>
      </c>
      <c r="C36" t="s">
        <v>30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30</v>
      </c>
      <c r="D37" s="5" t="s">
        <v>35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21</v>
      </c>
      <c r="D38" s="5" t="s">
        <v>14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21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16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36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24</v>
      </c>
      <c r="D42" s="5" t="s">
        <v>18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18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19</v>
      </c>
      <c r="D44" s="5" t="s">
        <v>18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28</v>
      </c>
      <c r="D46" s="5" t="s">
        <v>18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50</v>
      </c>
      <c r="D47" s="5" t="s">
        <v>51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47</v>
      </c>
      <c r="D48" s="5" t="s">
        <v>34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27</v>
      </c>
      <c r="D49" s="5" t="s">
        <v>14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27</v>
      </c>
      <c r="D50" s="5" t="s">
        <v>18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29</v>
      </c>
      <c r="D51" s="5" t="s">
        <v>14</v>
      </c>
      <c r="E51">
        <v>3</v>
      </c>
      <c r="F51">
        <v>1</v>
      </c>
      <c r="G51" s="6">
        <f>ROUND(F51/E51,2)</f>
        <v>0.33</v>
      </c>
    </row>
    <row r="52" spans="1:7" x14ac:dyDescent="0.25">
      <c r="A52" t="s">
        <v>9</v>
      </c>
      <c r="B52" t="s">
        <v>12</v>
      </c>
      <c r="C52" t="s">
        <v>33</v>
      </c>
      <c r="D52" s="5" t="s">
        <v>31</v>
      </c>
      <c r="E52">
        <v>1</v>
      </c>
      <c r="F52">
        <v>0</v>
      </c>
      <c r="G52" s="6">
        <f>ROUND(F52/E52,2)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49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40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39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43</v>
      </c>
      <c r="D16" s="5" t="s">
        <v>18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48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32</v>
      </c>
      <c r="D19" s="5" t="s">
        <v>14</v>
      </c>
      <c r="E19">
        <v>2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44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44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22</v>
      </c>
      <c r="D23" s="5" t="s">
        <v>34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41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45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42</v>
      </c>
      <c r="D26" s="5" t="s">
        <v>18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13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15</v>
      </c>
      <c r="D28" s="5" t="s">
        <v>18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14</v>
      </c>
      <c r="E29">
        <v>3</v>
      </c>
      <c r="F29">
        <v>1</v>
      </c>
      <c r="G29" s="6">
        <f>ROUND(F29/E29,2)</f>
        <v>0.33</v>
      </c>
    </row>
    <row r="30" spans="1:7" x14ac:dyDescent="0.25">
      <c r="A30" t="s">
        <v>9</v>
      </c>
      <c r="B30" t="s">
        <v>12</v>
      </c>
      <c r="C30" t="s">
        <v>20</v>
      </c>
      <c r="D30" s="5" t="s">
        <v>14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23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23</v>
      </c>
      <c r="D32" s="5" t="s">
        <v>18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38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46</v>
      </c>
      <c r="D34" s="5" t="s">
        <v>34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31</v>
      </c>
      <c r="E35">
        <v>2</v>
      </c>
      <c r="F35">
        <v>1</v>
      </c>
      <c r="G35" s="6">
        <f>ROUND(F35/E35,2)</f>
        <v>0.5</v>
      </c>
    </row>
    <row r="36" spans="1:7" x14ac:dyDescent="0.25">
      <c r="A36" t="s">
        <v>9</v>
      </c>
      <c r="B36" t="s">
        <v>12</v>
      </c>
      <c r="C36" t="s">
        <v>30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30</v>
      </c>
      <c r="D37" s="5" t="s">
        <v>35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21</v>
      </c>
      <c r="D38" s="5" t="s">
        <v>14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21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16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36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24</v>
      </c>
      <c r="D42" s="5" t="s">
        <v>18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18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19</v>
      </c>
      <c r="D44" s="5" t="s">
        <v>18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28</v>
      </c>
      <c r="D46" s="5" t="s">
        <v>18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50</v>
      </c>
      <c r="D47" s="5" t="s">
        <v>51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47</v>
      </c>
      <c r="D48" s="5" t="s">
        <v>34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27</v>
      </c>
      <c r="D49" s="5" t="s">
        <v>14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27</v>
      </c>
      <c r="D50" s="5" t="s">
        <v>18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29</v>
      </c>
      <c r="D51" s="5" t="s">
        <v>14</v>
      </c>
      <c r="E51">
        <v>3</v>
      </c>
      <c r="F51">
        <v>1</v>
      </c>
      <c r="G51" s="6">
        <f>ROUND(F51/E51,2)</f>
        <v>0.33</v>
      </c>
    </row>
    <row r="52" spans="1:7" x14ac:dyDescent="0.25">
      <c r="A52" t="s">
        <v>9</v>
      </c>
      <c r="B52" t="s">
        <v>12</v>
      </c>
      <c r="C52" t="s">
        <v>33</v>
      </c>
      <c r="D52" s="5" t="s">
        <v>31</v>
      </c>
      <c r="E52">
        <v>1</v>
      </c>
      <c r="F52">
        <v>0</v>
      </c>
      <c r="G52" s="6">
        <f>ROUND(F52/E52,2)</f>
        <v>0</v>
      </c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2025-08-19T19:34:43Z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