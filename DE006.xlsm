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57" documentId="13_ncr:1_{CCA05ED5-2A0D-4A8C-B6F5-632FDE30DEDF}" xr6:coauthVersionLast="47" xr6:coauthVersionMax="47" xr10:uidLastSave="{3779160E-5331-49E4-91BB-DF47B3A9785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8" i="20" l="1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4" i="18"/>
  <c r="G32" i="18"/>
  <c r="G23" i="18"/>
  <c r="G15" i="18"/>
  <c r="G19" i="18"/>
  <c r="G18" i="18"/>
  <c r="G14" i="18"/>
  <c r="G24" i="18"/>
  <c r="G22" i="18"/>
  <c r="G12" i="18"/>
  <c r="G13" i="18"/>
  <c r="G31" i="18"/>
  <c r="G30" i="18"/>
  <c r="G46" i="18"/>
  <c r="G42" i="18"/>
  <c r="G38" i="18"/>
  <c r="G35" i="18"/>
  <c r="G21" i="18"/>
  <c r="G48" i="18"/>
  <c r="G34" i="18"/>
  <c r="G17" i="18"/>
  <c r="G33" i="18"/>
  <c r="G47" i="18"/>
  <c r="G43" i="18"/>
  <c r="G45" i="18"/>
  <c r="G27" i="18"/>
  <c r="G16" i="18"/>
  <c r="G39" i="18"/>
  <c r="G29" i="18"/>
  <c r="G20" i="18"/>
  <c r="G36" i="18"/>
  <c r="G28" i="18"/>
  <c r="G41" i="18"/>
  <c r="G26" i="18"/>
  <c r="G37" i="18"/>
  <c r="G40" i="18"/>
  <c r="G25" i="18"/>
  <c r="E12" i="21"/>
</calcChain>
</file>

<file path=xl/sharedStrings.xml><?xml version="1.0" encoding="utf-8"?>
<sst xmlns="http://schemas.openxmlformats.org/spreadsheetml/2006/main" count="322" uniqueCount="49">
  <si>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</si>
  <si>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</si>
  <si>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</si>
  <si>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</si>
  <si>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</si>
  <si>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</si>
  <si>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</si>
  <si>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</si>
  <si>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</si>
  <si>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</si>
  <si>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</si>
  <si>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</si>
  <si>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</si>
  <si>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</si>
  <si>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</si>
  <si>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</si>
  <si>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</si>
  <si>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</si>
  <si>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</si>
  <si>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</si>
  <si>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</si>
  <si>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</si>
  <si>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</si>
  <si>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</si>
  <si>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</si>
  <si>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</si>
  <si>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</si>
  <si>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Südkorea 2</t>
  </si>
  <si>
    <t>Schweden 3</t>
  </si>
  <si>
    <t>USA 1</t>
  </si>
  <si>
    <t>Klub-WM</t>
  </si>
  <si>
    <t>Beide treffen &amp; Sieg</t>
  </si>
  <si>
    <t>Brasilien 2</t>
  </si>
  <si>
    <t>USA 2</t>
  </si>
  <si>
    <t>Über X Tore &amp; Sieg</t>
  </si>
  <si>
    <t>Doppelte Chance &amp; Beide treffen</t>
  </si>
  <si>
    <t>Norwegen 1</t>
  </si>
  <si>
    <t>Schweden 2</t>
  </si>
  <si>
    <t>Island 1</t>
  </si>
  <si>
    <t>Australien</t>
  </si>
  <si>
    <t>Argentinien 2</t>
  </si>
  <si>
    <t>China 1</t>
  </si>
  <si>
    <t>Dänemark 2</t>
  </si>
  <si>
    <t>Belgien 1</t>
  </si>
  <si>
    <t>Champions League</t>
  </si>
  <si>
    <t>Dänemark 1</t>
  </si>
  <si>
    <t>Japan 2</t>
  </si>
  <si>
    <t>Südkorea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</si>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</sst>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8" totalsRowShown="0">
  <autoFilter ref="A11:G48" xr:uid="{C312ECBC-370A-48F5-9745-177D5CBECA62}"/>
  <sortState xmlns:xlrd2="http://schemas.microsoft.com/office/spreadsheetml/2017/richdata2" ref="A12:G48">
    <sortCondition ref="C11:C4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8" totalsRowShown="0">
  <autoFilter ref="A11:G48" xr:uid="{C312ECBC-370A-48F5-9745-177D5CBECA62}"/>
  <sortState xmlns:xlrd2="http://schemas.microsoft.com/office/spreadsheetml/2017/richdata2" ref="A12:G48">
    <sortCondition ref="C11:C4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8"/>
  <sheetViews>
    <sheetView showGridLines="0" tabSelected="1" zoomScaleNormal="100" workbookViewId="0">
      <pane ySplit="11" topLeftCell="A12" activePane="bottomLeft" state="frozen"/>
      <selection pane="bottomLeft" activeCell="D39" sqref="D3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18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32</v>
      </c>
      <c r="D17" s="5" t="s">
        <v>14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44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34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41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45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42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18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14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9</v>
      </c>
      <c r="B28" t="s">
        <v>12</v>
      </c>
      <c r="C28" t="s">
        <v>20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38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30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35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16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18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17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19</v>
      </c>
      <c r="D41" s="5" t="s">
        <v>18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28</v>
      </c>
      <c r="D43" s="5" t="s">
        <v>18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47</v>
      </c>
      <c r="D44" s="5" t="s">
        <v>34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27</v>
      </c>
      <c r="D46" s="5" t="s">
        <v>18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29</v>
      </c>
      <c r="D47" s="5" t="s">
        <v>14</v>
      </c>
      <c r="E47">
        <v>3</v>
      </c>
      <c r="F47">
        <v>1</v>
      </c>
      <c r="G47" s="6">
        <f>ROUND(F47/E47,2)</f>
        <v>0.33</v>
      </c>
    </row>
    <row r="48" spans="1:7" x14ac:dyDescent="0.25">
      <c r="A48" t="s">
        <v>9</v>
      </c>
      <c r="B48" t="s">
        <v>12</v>
      </c>
      <c r="C48" t="s">
        <v>33</v>
      </c>
      <c r="D48" s="5" t="s">
        <v>31</v>
      </c>
      <c r="E48">
        <v>1</v>
      </c>
      <c r="F48">
        <v>0</v>
      </c>
      <c r="G48" s="6">
        <f>ROUND(F48/E48,2)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40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39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43</v>
      </c>
      <c r="D14" s="5" t="s">
        <v>14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43</v>
      </c>
      <c r="D15" s="5" t="s">
        <v>18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25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32</v>
      </c>
      <c r="D17" s="5" t="s">
        <v>14</v>
      </c>
      <c r="E17">
        <v>2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18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44</v>
      </c>
      <c r="D19" s="5" t="s">
        <v>14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22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22</v>
      </c>
      <c r="D21" s="5" t="s">
        <v>34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41</v>
      </c>
      <c r="D22" s="5" t="s">
        <v>18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45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42</v>
      </c>
      <c r="D24" s="5" t="s">
        <v>18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15</v>
      </c>
      <c r="D26" s="5" t="s">
        <v>18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26</v>
      </c>
      <c r="D27" s="5" t="s">
        <v>14</v>
      </c>
      <c r="E27">
        <v>3</v>
      </c>
      <c r="F27">
        <v>1</v>
      </c>
      <c r="G27" s="6">
        <f>ROUND(F27/E27,2)</f>
        <v>0.33</v>
      </c>
    </row>
    <row r="28" spans="1:7" x14ac:dyDescent="0.25">
      <c r="A28" t="s">
        <v>9</v>
      </c>
      <c r="B28" t="s">
        <v>12</v>
      </c>
      <c r="C28" t="s">
        <v>20</v>
      </c>
      <c r="D28" s="5" t="s">
        <v>14</v>
      </c>
      <c r="E28">
        <v>2</v>
      </c>
      <c r="F28">
        <v>1</v>
      </c>
      <c r="G28" s="6">
        <f>ROUND(F28/E28,2)</f>
        <v>0.5</v>
      </c>
    </row>
    <row r="29" spans="1:7" x14ac:dyDescent="0.25">
      <c r="A29" t="s">
        <v>9</v>
      </c>
      <c r="B29" t="s">
        <v>12</v>
      </c>
      <c r="C29" t="s">
        <v>23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23</v>
      </c>
      <c r="D30" s="5" t="s">
        <v>18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38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46</v>
      </c>
      <c r="D32" s="5" t="s">
        <v>34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30</v>
      </c>
      <c r="D33" s="5" t="s">
        <v>31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30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30</v>
      </c>
      <c r="D35" s="5" t="s">
        <v>35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21</v>
      </c>
      <c r="D36" s="5" t="s">
        <v>14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16</v>
      </c>
      <c r="D37" s="5" t="s">
        <v>18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36</v>
      </c>
      <c r="D38" s="5" t="s">
        <v>14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9</v>
      </c>
      <c r="B39" t="s">
        <v>12</v>
      </c>
      <c r="C39" t="s">
        <v>24</v>
      </c>
      <c r="D39" s="5" t="s">
        <v>18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17</v>
      </c>
      <c r="D40" s="5" t="s">
        <v>18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19</v>
      </c>
      <c r="D41" s="5" t="s">
        <v>18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28</v>
      </c>
      <c r="D43" s="5" t="s">
        <v>18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47</v>
      </c>
      <c r="D44" s="5" t="s">
        <v>34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27</v>
      </c>
      <c r="D45" s="5" t="s">
        <v>14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27</v>
      </c>
      <c r="D46" s="5" t="s">
        <v>18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29</v>
      </c>
      <c r="D47" s="5" t="s">
        <v>14</v>
      </c>
      <c r="E47">
        <v>3</v>
      </c>
      <c r="F47">
        <v>1</v>
      </c>
      <c r="G47" s="6">
        <f>ROUND(F47/E47,2)</f>
        <v>0.33</v>
      </c>
    </row>
    <row r="48" spans="1:7" x14ac:dyDescent="0.25">
      <c r="A48" t="s">
        <v>9</v>
      </c>
      <c r="B48" t="s">
        <v>12</v>
      </c>
      <c r="C48" t="s">
        <v>33</v>
      </c>
      <c r="D48" s="5" t="s">
        <v>31</v>
      </c>
      <c r="E48">
        <v>1</v>
      </c>
      <c r="F48">
        <v>0</v>
      </c>
      <c r="G48" s="6">
        <f>ROUND(F48/E48,2)</f>
        <v>0</v>
      </c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2025-08-12T19:00:42Z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