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65" documentId="13_ncr:1_{CCA05ED5-2A0D-4A8C-B6F5-632FDE30DEDF}" xr6:coauthVersionLast="47" xr6:coauthVersionMax="47" xr10:uidLastSave="{5D25D2D7-C282-44C8-B2A8-664CA8E1047E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1" i="20" l="1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5" i="18"/>
  <c r="G14" i="18"/>
  <c r="G18" i="18"/>
  <c r="G17" i="18"/>
  <c r="G35" i="18"/>
  <c r="G32" i="18"/>
  <c r="G13" i="18"/>
  <c r="G16" i="18"/>
  <c r="G27" i="18"/>
  <c r="G36" i="18"/>
  <c r="G34" i="18"/>
  <c r="G40" i="18"/>
  <c r="G39" i="18"/>
  <c r="G12" i="18"/>
  <c r="G26" i="18"/>
  <c r="G28" i="18"/>
  <c r="G25" i="18"/>
  <c r="G30" i="18"/>
  <c r="G31" i="18"/>
  <c r="G41" i="18"/>
  <c r="G24" i="18"/>
  <c r="G29" i="18"/>
  <c r="G38" i="18"/>
  <c r="G33" i="18"/>
  <c r="G37" i="18"/>
  <c r="G21" i="18"/>
  <c r="G22" i="18"/>
  <c r="G23" i="18"/>
  <c r="G19" i="18"/>
  <c r="G20" i="18"/>
  <c r="E12" i="21"/>
</calcChain>
</file>

<file path=xl/sharedStrings.xml><?xml version="1.0" encoding="utf-8"?>
<sst xmlns="http://schemas.openxmlformats.org/spreadsheetml/2006/main" count="266" uniqueCount="40">
  <si>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</si>
  <si>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</si>
  <si>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</si>
  <si>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</si>
  <si>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</si>
  <si>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</si>
  <si>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</si>
  <si>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</si>
  <si>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DE008 All Time-Trefferquoten</t>
  </si>
  <si>
    <t>DE008</t>
  </si>
  <si>
    <t>DE008 Saison-Trefferquoten</t>
  </si>
  <si>
    <t>DE008 Strategie</t>
  </si>
  <si>
    <t>Fußball</t>
  </si>
  <si>
    <t>Deutschland 2</t>
  </si>
  <si>
    <t>Deutschland 3</t>
  </si>
  <si>
    <t>Deutschland 1</t>
  </si>
  <si>
    <t>Unentschieden</t>
  </si>
  <si>
    <t>Sieg</t>
  </si>
  <si>
    <t>Spanien 1</t>
  </si>
  <si>
    <t>Landespokal</t>
  </si>
  <si>
    <t>Torschütze &amp; Sieg</t>
  </si>
  <si>
    <t>Italien 1</t>
  </si>
  <si>
    <t>England 1</t>
  </si>
  <si>
    <t>Länderspiel</t>
  </si>
  <si>
    <t>USA 1</t>
  </si>
  <si>
    <t>Finnland 1</t>
  </si>
  <si>
    <t>Island 1</t>
  </si>
  <si>
    <t>Irland 1</t>
  </si>
  <si>
    <t>Argentinien 1</t>
  </si>
  <si>
    <t>U21 Länderspiel</t>
  </si>
  <si>
    <t>Über X Tore &amp; Sieg</t>
  </si>
  <si>
    <t>Norwegen 1</t>
  </si>
  <si>
    <t>Schweden 1</t>
  </si>
  <si>
    <t>Brasilien 1</t>
  </si>
  <si>
    <t>Argentinien 2</t>
  </si>
  <si>
    <t>Länderspiel Frauen</t>
  </si>
  <si>
    <t>Rumänien 1</t>
  </si>
  <si>
    <t>Dänemark 1</t>
  </si>
  <si>
    <t>Belgien 1</t>
  </si>
  <si>
    <t>Stand: 09.08.2025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</si>
</sst>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1" totalsRowShown="0">
  <autoFilter ref="A11:G41" xr:uid="{C312ECBC-370A-48F5-9745-177D5CBECA62}"/>
  <sortState xmlns:xlrd2="http://schemas.microsoft.com/office/spreadsheetml/2017/richdata2" ref="A12:G41">
    <sortCondition ref="C11:C41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1" totalsRowShown="0">
  <autoFilter ref="A11:G41" xr:uid="{C312ECBC-370A-48F5-9745-177D5CBECA62}"/>
  <sortState xmlns:xlrd2="http://schemas.microsoft.com/office/spreadsheetml/2017/richdata2" ref="A12:G41">
    <sortCondition ref="C11:C41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1"/>
  <sheetViews>
    <sheetView showGridLines="0" tabSelected="1" zoomScaleNormal="100" workbookViewId="0">
      <pane ySplit="11" topLeftCell="A12" activePane="bottomLeft" state="frozen"/>
      <selection pane="bottomLeft" activeCell="B32" sqref="B3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17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34</v>
      </c>
      <c r="D13" s="5" t="s">
        <v>17</v>
      </c>
      <c r="E13">
        <v>2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38</v>
      </c>
      <c r="D14" s="5" t="s">
        <v>16</v>
      </c>
      <c r="E14">
        <v>3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38</v>
      </c>
      <c r="D15" s="5" t="s">
        <v>17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33</v>
      </c>
      <c r="D16" s="5" t="s">
        <v>17</v>
      </c>
      <c r="E16">
        <v>5</v>
      </c>
      <c r="F16">
        <v>2</v>
      </c>
      <c r="G16" s="6">
        <f>ROUND(F16/E16,2)</f>
        <v>0.4</v>
      </c>
    </row>
    <row r="17" spans="1:7" x14ac:dyDescent="0.25">
      <c r="A17" t="s">
        <v>9</v>
      </c>
      <c r="B17" t="s">
        <v>12</v>
      </c>
      <c r="C17" t="s">
        <v>37</v>
      </c>
      <c r="D17" s="5" t="s">
        <v>17</v>
      </c>
      <c r="E17">
        <v>3</v>
      </c>
      <c r="F17">
        <v>1</v>
      </c>
      <c r="G17" s="6">
        <f>ROUND(F17/E17,2)</f>
        <v>0.33</v>
      </c>
    </row>
    <row r="18" spans="1:7" x14ac:dyDescent="0.25">
      <c r="A18" t="s">
        <v>9</v>
      </c>
      <c r="B18" t="s">
        <v>12</v>
      </c>
      <c r="C18" t="s">
        <v>37</v>
      </c>
      <c r="D18" s="5" t="s">
        <v>16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15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16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13</v>
      </c>
      <c r="D21" s="5" t="s">
        <v>17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14</v>
      </c>
      <c r="D22" s="5" t="s">
        <v>17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14</v>
      </c>
      <c r="D23" s="5" t="s">
        <v>16</v>
      </c>
      <c r="E23">
        <v>2</v>
      </c>
      <c r="F23">
        <v>1</v>
      </c>
      <c r="G23" s="6">
        <f>ROUND(F23/E23,2)</f>
        <v>0.5</v>
      </c>
    </row>
    <row r="24" spans="1:7" x14ac:dyDescent="0.25">
      <c r="A24" t="s">
        <v>9</v>
      </c>
      <c r="B24" t="s">
        <v>12</v>
      </c>
      <c r="C24" t="s">
        <v>22</v>
      </c>
      <c r="D24" s="5" t="s">
        <v>17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25</v>
      </c>
      <c r="D25" s="5" t="s">
        <v>16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27</v>
      </c>
      <c r="D26" s="5" t="s">
        <v>17</v>
      </c>
      <c r="E26">
        <v>2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27</v>
      </c>
      <c r="D27" s="5" t="s">
        <v>16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26</v>
      </c>
      <c r="D28" s="5" t="s">
        <v>16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21</v>
      </c>
      <c r="D29" s="5" t="s">
        <v>16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23</v>
      </c>
      <c r="D30" s="5" t="s">
        <v>17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23</v>
      </c>
      <c r="D31" s="5" t="s">
        <v>16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35</v>
      </c>
      <c r="D32" s="5" t="s">
        <v>17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19</v>
      </c>
      <c r="D33" s="5" t="s">
        <v>20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31</v>
      </c>
      <c r="D34" s="5" t="s">
        <v>17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36</v>
      </c>
      <c r="D35" s="5" t="s">
        <v>17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32</v>
      </c>
      <c r="D36" s="5" t="s">
        <v>17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18</v>
      </c>
      <c r="D37" s="5" t="s">
        <v>17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18</v>
      </c>
      <c r="D38" s="5" t="s">
        <v>16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29</v>
      </c>
      <c r="D39" s="5" t="s">
        <v>17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29</v>
      </c>
      <c r="D40" s="5" t="s">
        <v>30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24</v>
      </c>
      <c r="D41" s="5" t="s">
        <v>17</v>
      </c>
      <c r="E41">
        <v>1</v>
      </c>
      <c r="F41">
        <v>1</v>
      </c>
      <c r="G41" s="6">
        <f>ROUND(F41/E41,2)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17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34</v>
      </c>
      <c r="D13" s="5" t="s">
        <v>17</v>
      </c>
      <c r="E13">
        <v>2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38</v>
      </c>
      <c r="D14" s="5" t="s">
        <v>16</v>
      </c>
      <c r="E14">
        <v>3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38</v>
      </c>
      <c r="D15" s="5" t="s">
        <v>17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33</v>
      </c>
      <c r="D16" s="5" t="s">
        <v>17</v>
      </c>
      <c r="E16">
        <v>5</v>
      </c>
      <c r="F16">
        <v>2</v>
      </c>
      <c r="G16" s="6">
        <f>ROUND(F16/E16,2)</f>
        <v>0.4</v>
      </c>
    </row>
    <row r="17" spans="1:7" x14ac:dyDescent="0.25">
      <c r="A17" t="s">
        <v>9</v>
      </c>
      <c r="B17" t="s">
        <v>12</v>
      </c>
      <c r="C17" t="s">
        <v>37</v>
      </c>
      <c r="D17" s="5" t="s">
        <v>17</v>
      </c>
      <c r="E17">
        <v>3</v>
      </c>
      <c r="F17">
        <v>1</v>
      </c>
      <c r="G17" s="6">
        <f>ROUND(F17/E17,2)</f>
        <v>0.33</v>
      </c>
    </row>
    <row r="18" spans="1:7" x14ac:dyDescent="0.25">
      <c r="A18" t="s">
        <v>9</v>
      </c>
      <c r="B18" t="s">
        <v>12</v>
      </c>
      <c r="C18" t="s">
        <v>37</v>
      </c>
      <c r="D18" s="5" t="s">
        <v>16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15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16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13</v>
      </c>
      <c r="D21" s="5" t="s">
        <v>17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14</v>
      </c>
      <c r="D22" s="5" t="s">
        <v>17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14</v>
      </c>
      <c r="D23" s="5" t="s">
        <v>16</v>
      </c>
      <c r="E23">
        <v>2</v>
      </c>
      <c r="F23">
        <v>1</v>
      </c>
      <c r="G23" s="6">
        <f>ROUND(F23/E23,2)</f>
        <v>0.5</v>
      </c>
    </row>
    <row r="24" spans="1:7" x14ac:dyDescent="0.25">
      <c r="A24" t="s">
        <v>9</v>
      </c>
      <c r="B24" t="s">
        <v>12</v>
      </c>
      <c r="C24" t="s">
        <v>22</v>
      </c>
      <c r="D24" s="5" t="s">
        <v>17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25</v>
      </c>
      <c r="D25" s="5" t="s">
        <v>16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27</v>
      </c>
      <c r="D26" s="5" t="s">
        <v>17</v>
      </c>
      <c r="E26">
        <v>2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27</v>
      </c>
      <c r="D27" s="5" t="s">
        <v>16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26</v>
      </c>
      <c r="D28" s="5" t="s">
        <v>16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21</v>
      </c>
      <c r="D29" s="5" t="s">
        <v>16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23</v>
      </c>
      <c r="D30" s="5" t="s">
        <v>17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23</v>
      </c>
      <c r="D31" s="5" t="s">
        <v>16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35</v>
      </c>
      <c r="D32" s="5" t="s">
        <v>17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19</v>
      </c>
      <c r="D33" s="5" t="s">
        <v>20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31</v>
      </c>
      <c r="D34" s="5" t="s">
        <v>17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36</v>
      </c>
      <c r="D35" s="5" t="s">
        <v>17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32</v>
      </c>
      <c r="D36" s="5" t="s">
        <v>17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18</v>
      </c>
      <c r="D37" s="5" t="s">
        <v>17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18</v>
      </c>
      <c r="D38" s="5" t="s">
        <v>16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29</v>
      </c>
      <c r="D39" s="5" t="s">
        <v>17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29</v>
      </c>
      <c r="D40" s="5" t="s">
        <v>30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24</v>
      </c>
      <c r="D41" s="5" t="s">
        <v>17</v>
      </c>
      <c r="E41">
        <v>1</v>
      </c>
      <c r="F41">
        <v>1</v>
      </c>
      <c r="G41" s="6">
        <f>ROUND(F41/E41,2)</f>
        <v>1</v>
      </c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21" sqref="B21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2025-08-09T09:35:56Z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