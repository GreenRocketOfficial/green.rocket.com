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19" documentId="13_ncr:1_{32BD3745-769A-4363-92E4-3EACA8D86657}" xr6:coauthVersionLast="47" xr6:coauthVersionMax="47" xr10:uidLastSave="{1FC312B8-77F3-48B3-96A0-1C97E71D0799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1" l="1"/>
  <c r="A10" i="11"/>
  <c r="J9" i="11"/>
  <c r="A9" i="11"/>
  <c r="J8" i="1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<sst xmlns="http://schemas.openxmlformats.org/spreadsheetml/2006/main" count="46" uniqueCount="35">
  <si>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</si>
  <si>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</si>
  <si>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</si>
  <si>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</si>
  <si>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</si>
  <si>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</si>
  <si>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</si>
  <si>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</si>
  <si>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</si>
  <si>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</si>
  <si>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</si>
  <si>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</si>
  <si>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</si>
  <si>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</si>
  <si>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</si>
  <si>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</si>
  <si>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</si>
  <si>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</si>
  <si>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</si>
  <si>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</si>
  <si>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</si>
  <si>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</si>
  <si>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</si>
  <si>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</si>
  <si>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</si>
  <si>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</si>
  <si>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</si>
  <si>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</si>
  <si>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</si>
  <si>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</si>
  <si>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</si>
  <si>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</si>
  <si>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+ 0</t>
  </si>
  <si>
    <t>+ 2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</si>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</sst>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0" totalsRowShown="0" headerRowDxfId="14" dataDxfId="13">
  <autoFilter ref="A1:I10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O32" sqref="O32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23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34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9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2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7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22,22%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1629.07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2241.4199999999996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25</v>
      </c>
      <c r="D21" s="47"/>
      <c r="E21" s="48"/>
      <c r="F21" s="13">
        <v>16</v>
      </c>
      <c r="G21" s="12" t="s">
        <v>30</v>
      </c>
      <c r="H21" s="14">
        <v>20</v>
      </c>
      <c r="I21" s="12" t="s">
        <v>31</v>
      </c>
      <c r="J21" s="14">
        <f>F21+H21</f>
        <v>36</v>
      </c>
      <c r="K21" s="12" t="s">
        <v>29</v>
      </c>
      <c r="L21" s="49" t="str">
        <f>TEXT(F21/J21,"0,00%")</f>
        <v>44,44%</v>
      </c>
      <c r="M21" s="50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2</v>
      </c>
      <c r="B22" s="45"/>
      <c r="C22" s="46" t="s">
        <v>27</v>
      </c>
      <c r="D22" s="47"/>
      <c r="E22" s="48"/>
      <c r="F22" s="23">
        <v>14</v>
      </c>
      <c r="G22" s="12" t="s">
        <v>33</v>
      </c>
      <c r="H22" s="24">
        <v>22</v>
      </c>
      <c r="I22" s="12" t="s">
        <v>33</v>
      </c>
      <c r="J22" s="24">
        <f>F22+H22</f>
        <v>36</v>
      </c>
      <c r="K22" s="12" t="s">
        <v>29</v>
      </c>
      <c r="L22" s="49" t="str">
        <f>TEXT(F22/J22,"0,00%")</f>
        <v>38,89%</v>
      </c>
      <c r="M22" s="50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3</v>
      </c>
      <c r="B23" s="45"/>
      <c r="C23" s="46" t="s">
        <v>26</v>
      </c>
      <c r="D23" s="47"/>
      <c r="E23" s="48"/>
      <c r="F23" s="13">
        <v>12</v>
      </c>
      <c r="G23" s="12" t="s">
        <v>32</v>
      </c>
      <c r="H23" s="14">
        <v>24</v>
      </c>
      <c r="I23" s="12" t="s">
        <v>29</v>
      </c>
      <c r="J23" s="14">
        <f>F23+H23</f>
        <v>36</v>
      </c>
      <c r="K23" s="12" t="s">
        <v>29</v>
      </c>
      <c r="L23" s="49" t="str">
        <f>TEXT(F23/J23,"0,00%")</f>
        <v>33,33%</v>
      </c>
      <c r="M23" s="50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4</v>
      </c>
      <c r="B24" s="45"/>
      <c r="C24" s="41" t="s">
        <v>24</v>
      </c>
      <c r="D24" s="42"/>
      <c r="E24" s="43"/>
      <c r="F24" s="20">
        <v>11</v>
      </c>
      <c r="G24" s="21" t="s">
        <v>30</v>
      </c>
      <c r="H24" s="22">
        <v>25</v>
      </c>
      <c r="I24" s="21" t="s">
        <v>31</v>
      </c>
      <c r="J24" s="22">
        <f>F24+H24</f>
        <v>36</v>
      </c>
      <c r="K24" s="21" t="s">
        <v>29</v>
      </c>
      <c r="L24" s="51" t="str">
        <f>TEXT(F24/J24,"0,00%")</f>
        <v>30,56%</v>
      </c>
      <c r="M24" s="52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L22:M22"/>
    <mergeCell ref="A23:B23"/>
    <mergeCell ref="C21:E21"/>
    <mergeCell ref="C23:E23"/>
    <mergeCell ref="L23:M23"/>
    <mergeCell ref="L21:M21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E16" sqref="E1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0" si="0">D2-C2-F2-E2-G2-H2-I2</f>
        <v>955.8499999999998</v>
      </c>
      <c r="L2" s="5">
        <f>COUNTA(A:A)-1</f>
        <v>9</v>
      </c>
      <c r="M2" s="5">
        <f>COUNTIF(D:D,"&gt;0")</f>
        <v>2</v>
      </c>
      <c r="N2" s="5">
        <f>COUNTIF(D:D,"0")</f>
        <v>7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2025-07-10T17:33:11Z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