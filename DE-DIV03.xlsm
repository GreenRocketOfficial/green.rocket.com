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284" documentId="13_ncr:1_{32BD3745-769A-4363-92E4-3EACA8D86657}" xr6:coauthVersionLast="47" xr6:coauthVersionMax="47" xr10:uidLastSave="{E00A79FD-D6E7-47AC-80D1-78CE222CECDD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1" l="1"/>
  <c r="F18" i="12" s="1"/>
  <c r="F17" i="12"/>
  <c r="J21" i="12"/>
  <c r="L21" i="12" s="1"/>
  <c r="J22" i="12"/>
  <c r="L22" i="12" s="1"/>
  <c r="J23" i="12"/>
  <c r="L23" i="12" s="1"/>
  <c r="J24" i="12"/>
  <c r="L24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<sst xmlns="http://schemas.openxmlformats.org/spreadsheetml/2006/main" count="46" uniqueCount="38">
  <si>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</si>
  <si>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</si>
  <si>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</si>
  <si>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</si>
  <si>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</si>
  <si>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</si>
  <si>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</si>
  <si>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</si>
  <si>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</si>
  <si>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</si>
  <si>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</si>
  <si>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</si>
  <si>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</si>
  <si>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</si>
  <si>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</si>
  <si>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</si>
  <si>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</si>
  <si>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</si>
  <si>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</si>
  <si>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</si>
  <si>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</si>
  <si>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</si>
  <si>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</si>
  <si>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</si>
  <si>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</si>
  <si>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</si>
  <si>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</si>
  <si>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</si>
  <si>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</si>
  <si>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</si>
  <si>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</si>
  <si>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</si>
  <si>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Stand: 12.05.2025</t>
  </si>
  <si>
    <t>Leiter</t>
  </si>
  <si>
    <t>+ 2</t>
  </si>
  <si>
    <t>+ 4</t>
  </si>
  <si>
    <t>+ 1</t>
  </si>
  <si>
    <t>+ 3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</si>
</sst>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3" fillId="4" borderId="16" xfId="0" applyFont="1" applyFill="1" applyBorder="1"/>
    <xf numFmtId="8" fontId="4" fillId="5" borderId="17" xfId="0" applyNumberFormat="1" applyFont="1" applyFill="1" applyBorder="1"/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4">
  <autoFilter ref="L1:N2" xr:uid="{04C6CC93-89BF-4AA3-8F87-5C8965A8DF9E}"/>
  <tableColumns count="3">
    <tableColumn id="1" xr3:uid="{0558E104-A40A-4522-9B19-B3974FD08947}" name="Anzahl" dataDxfId="3">
      <calculatedColumnFormula>COUNTA(A:A)-1</calculatedColumnFormula>
    </tableColumn>
    <tableColumn id="2" xr3:uid="{BA768224-99CC-42C9-9909-936745F76227}" name="Gewonnen" dataDxfId="2">
      <calculatedColumnFormula>COUNTIF(D:D,"&gt;0")</calculatedColumnFormula>
    </tableColumn>
    <tableColumn id="3" xr3:uid="{3A4EA694-FB28-4059-8EEE-CC6EE941C405}" name="Verloren" dataDxfId="1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34" sqref="M34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27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32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15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11</v>
      </c>
      <c r="B11" s="27"/>
      <c r="C11" s="27"/>
      <c r="D11" s="27"/>
      <c r="E11" s="27"/>
      <c r="F11" s="27">
        <f>Finanzen!L2</f>
        <v>1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18</v>
      </c>
      <c r="B12" s="27"/>
      <c r="C12" s="27"/>
      <c r="D12" s="27"/>
      <c r="E12" s="27"/>
      <c r="F12" s="31">
        <f>Finanzen!M2</f>
        <v>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19</v>
      </c>
      <c r="B13" s="27"/>
      <c r="C13" s="27"/>
      <c r="D13" s="27"/>
      <c r="E13" s="27"/>
      <c r="F13" s="21">
        <f>Finanzen!N2</f>
        <v>0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6</v>
      </c>
      <c r="B14" s="27"/>
      <c r="C14" s="27"/>
      <c r="D14" s="27"/>
      <c r="E14" s="27"/>
      <c r="F14" s="27" t="str">
        <f>TEXT(Finanzen!M2/Finanzen!L2,"0,00%")</f>
        <v>100,00%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16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10</v>
      </c>
      <c r="B17" s="27"/>
      <c r="C17" s="27"/>
      <c r="D17" s="27"/>
      <c r="E17" s="27"/>
      <c r="F17" s="32">
        <f>SUM(Finanzen!D:D)</f>
        <v>1508.52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21</v>
      </c>
      <c r="B18" s="27"/>
      <c r="C18" s="27"/>
      <c r="D18" s="27"/>
      <c r="E18" s="27"/>
      <c r="F18" s="32">
        <f>2002 + SUM(Finanzen!J:J)</f>
        <v>2957.85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0" t="s">
        <v>17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8" t="s">
        <v>14</v>
      </c>
      <c r="B20" s="39"/>
      <c r="C20" s="40" t="s">
        <v>4</v>
      </c>
      <c r="D20" s="41"/>
      <c r="E20" s="42"/>
      <c r="F20" s="37" t="s">
        <v>12</v>
      </c>
      <c r="G20" s="34"/>
      <c r="H20" s="37" t="s">
        <v>20</v>
      </c>
      <c r="I20" s="34"/>
      <c r="J20" s="33" t="s">
        <v>13</v>
      </c>
      <c r="K20" s="34"/>
      <c r="L20" s="33" t="s">
        <v>5</v>
      </c>
      <c r="M20" s="3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5">
        <v>1</v>
      </c>
      <c r="B21" s="36"/>
      <c r="C21" s="28" t="s">
        <v>28</v>
      </c>
      <c r="D21" s="29"/>
      <c r="E21" s="30"/>
      <c r="F21" s="14">
        <v>2</v>
      </c>
      <c r="G21" s="12" t="s">
        <v>34</v>
      </c>
      <c r="H21" s="16">
        <v>2</v>
      </c>
      <c r="I21" s="12" t="s">
        <v>34</v>
      </c>
      <c r="J21" s="16">
        <f>F21+H21</f>
        <v>4</v>
      </c>
      <c r="K21" s="12" t="s">
        <v>35</v>
      </c>
      <c r="L21" s="25" t="str">
        <f>TEXT(F21/J21,"0,00%")</f>
        <v>50,00%</v>
      </c>
      <c r="M21" s="2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5">
        <v>1</v>
      </c>
      <c r="B22" s="36"/>
      <c r="C22" s="28" t="s">
        <v>29</v>
      </c>
      <c r="D22" s="29"/>
      <c r="E22" s="30"/>
      <c r="F22" s="14">
        <v>2</v>
      </c>
      <c r="G22" s="12" t="s">
        <v>34</v>
      </c>
      <c r="H22" s="16">
        <v>2</v>
      </c>
      <c r="I22" s="12" t="s">
        <v>34</v>
      </c>
      <c r="J22" s="16">
        <f>F22+H22</f>
        <v>4</v>
      </c>
      <c r="K22" s="12" t="s">
        <v>35</v>
      </c>
      <c r="L22" s="25" t="str">
        <f>TEXT(F22/J22,"0,00%")</f>
        <v>50,00%</v>
      </c>
      <c r="M22" s="26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35">
        <v>1</v>
      </c>
      <c r="B23" s="36"/>
      <c r="C23" s="47" t="s">
        <v>31</v>
      </c>
      <c r="D23" s="48"/>
      <c r="E23" s="49"/>
      <c r="F23" s="15">
        <v>2</v>
      </c>
      <c r="G23" s="13" t="s">
        <v>34</v>
      </c>
      <c r="H23" s="17">
        <v>2</v>
      </c>
      <c r="I23" s="13" t="s">
        <v>34</v>
      </c>
      <c r="J23" s="17">
        <f>F23+H23</f>
        <v>4</v>
      </c>
      <c r="K23" s="13" t="s">
        <v>35</v>
      </c>
      <c r="L23" s="43" t="str">
        <f>TEXT(F23/J23,"0,00%")</f>
        <v>50,00%</v>
      </c>
      <c r="M23" s="44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5">
        <v>2</v>
      </c>
      <c r="B24" s="46"/>
      <c r="C24" s="28" t="s">
        <v>30</v>
      </c>
      <c r="D24" s="29"/>
      <c r="E24" s="30"/>
      <c r="F24" s="14">
        <v>1</v>
      </c>
      <c r="G24" s="12" t="s">
        <v>36</v>
      </c>
      <c r="H24" s="16">
        <v>3</v>
      </c>
      <c r="I24" s="12" t="s">
        <v>37</v>
      </c>
      <c r="J24" s="16">
        <f>F24+H24</f>
        <v>4</v>
      </c>
      <c r="K24" s="12" t="s">
        <v>35</v>
      </c>
      <c r="L24" s="25" t="str">
        <f>TEXT(F24/J24,"0,00%")</f>
        <v>25,00%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3:M23"/>
    <mergeCell ref="A21:B21"/>
    <mergeCell ref="A22:B22"/>
    <mergeCell ref="A24:B24"/>
    <mergeCell ref="C23:E23"/>
    <mergeCell ref="L24:M24"/>
    <mergeCell ref="L22:M22"/>
    <mergeCell ref="F17:I17"/>
    <mergeCell ref="L20:M20"/>
    <mergeCell ref="A23:B23"/>
    <mergeCell ref="C22:E22"/>
    <mergeCell ref="C24:E24"/>
    <mergeCell ref="F20:G20"/>
    <mergeCell ref="F18:I18"/>
    <mergeCell ref="H20:I20"/>
    <mergeCell ref="J20:K20"/>
    <mergeCell ref="A20:B20"/>
    <mergeCell ref="C20:E20"/>
    <mergeCell ref="A18:E18"/>
    <mergeCell ref="A10:I10"/>
    <mergeCell ref="F13:I13"/>
    <mergeCell ref="C1:M5"/>
    <mergeCell ref="G6:I7"/>
    <mergeCell ref="L21:M21"/>
    <mergeCell ref="A17:E17"/>
    <mergeCell ref="C21:E21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2"/>
  <sheetViews>
    <sheetView zoomScale="90" zoomScaleNormal="90" workbookViewId="0">
      <pane ySplit="1" topLeftCell="A2" activePane="bottomLeft" state="frozen"/>
      <selection pane="bottomLeft" activeCell="K10" sqref="K10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33</v>
      </c>
      <c r="J1" s="5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51">
        <f>D2-C2-F2-E2-G2-H2-I2</f>
        <v>955.8499999999998</v>
      </c>
      <c r="L2" s="5">
        <f>COUNTA(A:A)-1</f>
        <v>1</v>
      </c>
      <c r="M2" s="5">
        <f>COUNTIF(D:D,"&gt;0")</f>
        <v>1</v>
      </c>
      <c r="N2" s="5">
        <f>COUNTIF(D:D,"0")</f>
        <v>0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2025-05-12T19:07:51Z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