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13" documentId="13_ncr:1_{32BD3745-769A-4363-92E4-3EACA8D86657}" xr6:coauthVersionLast="47" xr6:coauthVersionMax="47" xr10:uidLastSave="{53739E18-9518-413D-A650-A01664EF8D44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1" l="1"/>
  <c r="A10" i="11"/>
  <c r="J9" i="1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<sst xmlns="http://schemas.openxmlformats.org/spreadsheetml/2006/main" count="46" uniqueCount="39">
  <si>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</si>
  <si>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</si>
  <si>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</si>
  <si>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</si>
  <si>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</si>
  <si>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</si>
  <si>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</si>
  <si>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</si>
  <si>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</si>
  <si>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</si>
  <si>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</si>
  <si>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</si>
  <si>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</si>
  <si>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</si>
  <si>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</si>
  <si>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</si>
  <si>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</si>
  <si>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</si>
  <si>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</si>
  <si>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</si>
  <si>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</si>
  <si>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</si>
  <si>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</si>
  <si>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</si>
  <si>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</si>
  <si>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</si>
  <si>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</si>
  <si>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</si>
  <si>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</si>
  <si>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</si>
  <si>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</si>
  <si>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</si>
  <si>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</si>
  <si>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</si>
  <si>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</si>
  <si>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</si>
  <si>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</si>
  <si>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+ 2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</si>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</sst>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0" totalsRowShown="0" headerRowDxfId="14" dataDxfId="13">
  <autoFilter ref="A1:I10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E33" sqref="E3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4" t="s">
        <v>27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5" t="s">
        <v>38</v>
      </c>
      <c r="H6" s="46"/>
      <c r="I6" s="46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6"/>
      <c r="H7" s="46"/>
      <c r="I7" s="46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11</v>
      </c>
      <c r="B11" s="30"/>
      <c r="C11" s="30"/>
      <c r="D11" s="30"/>
      <c r="E11" s="30"/>
      <c r="F11" s="30">
        <f>Finanzen!L2</f>
        <v>9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18</v>
      </c>
      <c r="B12" s="30"/>
      <c r="C12" s="30"/>
      <c r="D12" s="30"/>
      <c r="E12" s="30"/>
      <c r="F12" s="38">
        <f>Finanzen!M2</f>
        <v>2</v>
      </c>
      <c r="G12" s="38"/>
      <c r="H12" s="38"/>
      <c r="I12" s="38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19</v>
      </c>
      <c r="B13" s="30"/>
      <c r="C13" s="30"/>
      <c r="D13" s="30"/>
      <c r="E13" s="30"/>
      <c r="F13" s="43">
        <f>Finanzen!N2</f>
        <v>7</v>
      </c>
      <c r="G13" s="43"/>
      <c r="H13" s="43"/>
      <c r="I13" s="4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6</v>
      </c>
      <c r="B14" s="30"/>
      <c r="C14" s="30"/>
      <c r="D14" s="30"/>
      <c r="E14" s="30"/>
      <c r="F14" s="30" t="str">
        <f>TEXT(Finanzen!M2/Finanzen!L2,"0,00%")</f>
        <v>22,22%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10</v>
      </c>
      <c r="B17" s="30"/>
      <c r="C17" s="30"/>
      <c r="D17" s="30"/>
      <c r="E17" s="30"/>
      <c r="F17" s="40">
        <f>SUM(Finanzen!D:D)</f>
        <v>1629.07</v>
      </c>
      <c r="G17" s="40"/>
      <c r="H17" s="40"/>
      <c r="I17" s="40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21</v>
      </c>
      <c r="B18" s="30"/>
      <c r="C18" s="30"/>
      <c r="D18" s="30"/>
      <c r="E18" s="30"/>
      <c r="F18" s="40">
        <f>2002 + SUM(Finanzen!J:J)</f>
        <v>2241.4199999999996</v>
      </c>
      <c r="G18" s="40"/>
      <c r="H18" s="40"/>
      <c r="I18" s="40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8" t="s">
        <v>14</v>
      </c>
      <c r="B20" s="49"/>
      <c r="C20" s="50" t="s">
        <v>4</v>
      </c>
      <c r="D20" s="51"/>
      <c r="E20" s="52"/>
      <c r="F20" s="47" t="s">
        <v>12</v>
      </c>
      <c r="G20" s="42"/>
      <c r="H20" s="47" t="s">
        <v>20</v>
      </c>
      <c r="I20" s="42"/>
      <c r="J20" s="41" t="s">
        <v>13</v>
      </c>
      <c r="K20" s="42"/>
      <c r="L20" s="41" t="s">
        <v>5</v>
      </c>
      <c r="M20" s="42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29</v>
      </c>
      <c r="D21" s="28"/>
      <c r="E21" s="29"/>
      <c r="F21" s="13">
        <v>16</v>
      </c>
      <c r="G21" s="12" t="s">
        <v>34</v>
      </c>
      <c r="H21" s="14">
        <v>20</v>
      </c>
      <c r="I21" s="12" t="s">
        <v>35</v>
      </c>
      <c r="J21" s="14">
        <f>F21+H21</f>
        <v>36</v>
      </c>
      <c r="K21" s="12" t="s">
        <v>33</v>
      </c>
      <c r="L21" s="31" t="str">
        <f>TEXT(F21/J21,"0,00%")</f>
        <v>44,44%</v>
      </c>
      <c r="M21" s="3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31</v>
      </c>
      <c r="D22" s="28"/>
      <c r="E22" s="29"/>
      <c r="F22" s="23">
        <v>14</v>
      </c>
      <c r="G22" s="12" t="s">
        <v>37</v>
      </c>
      <c r="H22" s="24">
        <v>22</v>
      </c>
      <c r="I22" s="12" t="s">
        <v>37</v>
      </c>
      <c r="J22" s="24">
        <f>F22+H22</f>
        <v>36</v>
      </c>
      <c r="K22" s="12" t="s">
        <v>33</v>
      </c>
      <c r="L22" s="31" t="str">
        <f>TEXT(F22/J22,"0,00%")</f>
        <v>38,89%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30</v>
      </c>
      <c r="D23" s="28"/>
      <c r="E23" s="29"/>
      <c r="F23" s="13">
        <v>12</v>
      </c>
      <c r="G23" s="12" t="s">
        <v>36</v>
      </c>
      <c r="H23" s="14">
        <v>24</v>
      </c>
      <c r="I23" s="12" t="s">
        <v>33</v>
      </c>
      <c r="J23" s="14">
        <f>F23+H23</f>
        <v>36</v>
      </c>
      <c r="K23" s="12" t="s">
        <v>33</v>
      </c>
      <c r="L23" s="31" t="str">
        <f>TEXT(F23/J23,"0,00%")</f>
        <v>33,33%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35" t="s">
        <v>28</v>
      </c>
      <c r="D24" s="36"/>
      <c r="E24" s="37"/>
      <c r="F24" s="20">
        <v>11</v>
      </c>
      <c r="G24" s="21" t="s">
        <v>34</v>
      </c>
      <c r="H24" s="22">
        <v>25</v>
      </c>
      <c r="I24" s="21" t="s">
        <v>35</v>
      </c>
      <c r="J24" s="22">
        <f>F24+H24</f>
        <v>36</v>
      </c>
      <c r="K24" s="21" t="s">
        <v>33</v>
      </c>
      <c r="L24" s="33" t="str">
        <f>TEXT(F24/J24,"0,00%")</f>
        <v>30,56%</v>
      </c>
      <c r="M24" s="3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2:M22"/>
    <mergeCell ref="A23:B23"/>
    <mergeCell ref="C21:E21"/>
    <mergeCell ref="C23:E23"/>
    <mergeCell ref="L23:M23"/>
    <mergeCell ref="L21:M21"/>
    <mergeCell ref="L24:M2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A11" sqref="A11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17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0" si="0">D2-C2-F2-E2-G2-H2-I2</f>
        <v>955.8499999999998</v>
      </c>
      <c r="L2" s="5">
        <f>COUNTA(A:A)-1</f>
        <v>9</v>
      </c>
      <c r="M2" s="5">
        <f>COUNTIF(D:D,"&gt;0")</f>
        <v>2</v>
      </c>
      <c r="N2" s="5">
        <f>COUNTIF(D:D,"0")</f>
        <v>7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2025-07-09T17:55:07Z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