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00000000-0000-0000-0000-000000000000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754" documentId="13_ncr:1_{32BD3745-769A-4363-92E4-3EACA8D86657}" xr6:coauthVersionLast="47" xr6:coauthVersionMax="47" xr10:uidLastSave="{4EFE42EA-FAD0-1B44-91EC-8365E1B298A8}"/>
  <bookViews>
    <workbookView xWindow="11895" yWindow="0" windowWidth="12210" windowHeight="12885" xr2:uid="{01A82109-CFE8-4870-8A32-C4C48630416A}"/>
  </bookViews>
  <sheets>
    <sheet name="Dashboard" sheetId="12" r:id="rId1"/>
    <sheet name="Finanzen" sheetId="11" r:id="rId2"/>
  </sheets>
  <definedNames>
    <definedName name="_xlnm._FilterDatabase" localSheetId="1" hidden="1">Finanzen!$J$1:$J$2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4" i="11" l="1"/>
  <c r="A14" i="11"/>
  <c r="J13" i="11"/>
  <c r="A13" i="11"/>
  <c r="J12" i="11"/>
  <c r="A12" i="11"/>
  <c r="J11" i="11"/>
  <c r="A11" i="11"/>
  <c r="J10" i="11"/>
  <c r="A10" i="11"/>
  <c r="J9" i="11"/>
  <c r="A9" i="11"/>
  <c r="J8" i="11"/>
  <c r="A8" i="11"/>
  <c r="J7" i="11"/>
  <c r="A7" i="11"/>
  <c r="J6" i="11"/>
  <c r="A6" i="11"/>
  <c r="J5" i="11"/>
  <c r="A5" i="11"/>
  <c r="J4" i="11"/>
  <c r="F18" i="12"/>
  <c r="J3" i="11"/>
  <c r="A4" i="11"/>
  <c r="J2" i="11"/>
  <c r="A3" i="11"/>
  <c r="F17" i="12"/>
  <c r="J24" i="12"/>
  <c r="L24" i="12"/>
  <c r="J21" i="12"/>
  <c r="L21" i="12"/>
  <c r="J22" i="12"/>
  <c r="L22" i="12"/>
  <c r="J23" i="12"/>
  <c r="L23" i="12"/>
  <c r="N2" i="11"/>
  <c r="F13" i="12"/>
  <c r="M2" i="11"/>
  <c r="F12" i="12"/>
  <c r="L2" i="11"/>
  <c r="F14" i="12"/>
  <c r="F11" i="12"/>
</calcChain>
</file>

<file path=xl/sharedStrings.xml><?xml version="1.0" encoding="utf-8"?>
<sst xmlns="http://schemas.openxmlformats.org/spreadsheetml/2006/main" count="46" uniqueCount="32">
  <si>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</si>
  <si>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</si>
  <si>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</si>
  <si>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</si>
  <si>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</si>
  <si>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</si>
  <si>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</si>
  <si>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</si>
  <si>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</si>
  <si>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</si>
  <si>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</si>
  <si>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</si>
  <si>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</si>
  <si>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</si>
  <si>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</si>
  <si>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</si>
  <si>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</si>
  <si>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</si>
  <si>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</si>
  <si>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</si>
  <si>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</si>
  <si>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</si>
  <si>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GuV</t>
  </si>
  <si>
    <t>Statistik Division 3</t>
  </si>
  <si>
    <t>DE009</t>
  </si>
  <si>
    <t>DE010</t>
  </si>
  <si>
    <t>DE011</t>
  </si>
  <si>
    <t>DE012</t>
  </si>
  <si>
    <t>Leiter</t>
  </si>
  <si>
    <t>+ 4</t>
  </si>
  <si>
    <t>+ 0</t>
  </si>
  <si>
    <t>Stand: 07.08.2025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</si>
</sst>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0" fontId="8" fillId="3" borderId="13" xfId="0" applyFont="1" applyFill="1" applyBorder="1"/>
    <xf numFmtId="49" fontId="10" fillId="3" borderId="14" xfId="0" applyNumberFormat="1" applyFont="1" applyFill="1" applyBorder="1"/>
    <xf numFmtId="0" fontId="6" fillId="3" borderId="13" xfId="0" applyFont="1" applyFill="1" applyBorder="1"/>
    <xf numFmtId="0" fontId="8" fillId="3" borderId="1" xfId="0" applyFont="1" applyFill="1" applyBorder="1"/>
    <xf numFmtId="0" fontId="6" fillId="3" borderId="1" xfId="0" applyFont="1" applyFill="1" applyBorder="1"/>
    <xf numFmtId="9" fontId="10" fillId="3" borderId="15" xfId="3" applyFont="1" applyFill="1" applyBorder="1" applyAlignment="1">
      <alignment horizontal="center" vertical="center"/>
    </xf>
    <xf numFmtId="9" fontId="10" fillId="3" borderId="16" xfId="3" applyFont="1" applyFill="1" applyBorder="1" applyAlignment="1">
      <alignment horizontal="center" vertical="center"/>
    </xf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5" fillId="3" borderId="0" xfId="0" applyFont="1" applyFill="1" applyAlignment="1">
      <alignment horizontal="right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0" fillId="3" borderId="6" xfId="0" quotePrefix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10" fillId="3" borderId="6" xfId="0" applyFont="1" applyFill="1" applyBorder="1" applyAlignment="1">
      <alignment horizont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4" totalsRowShown="0" headerRowDxfId="14" dataDxfId="13">
  <autoFilter ref="A1:I14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9" dataDxfId="8"/>
    <tableColumn id="7" xr3:uid="{5E213DFF-7615-48CF-8944-4C071C187C55}" name="DE010" dataDxfId="7"/>
    <tableColumn id="8" xr3:uid="{265603BC-E9E1-462B-9A6D-C0F306480253}" name="DE011" dataDxfId="6"/>
    <tableColumn id="9" xr3:uid="{8305AF6F-BFE9-4D5B-8B01-3CF39FA2D0B3}" name="DE012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topLeftCell="C1" zoomScale="40" zoomScaleNormal="40" workbookViewId="0">
      <pane ySplit="9" topLeftCell="C10" activePane="bottomLeft" state="frozen"/>
      <selection activeCell="Z33" sqref="Z33"/>
      <selection pane="bottomLeft" activeCell="F26" sqref="F26"/>
    </sheetView>
  </sheetViews>
  <sheetFormatPr defaultColWidth="10.76171875" defaultRowHeight="15" x14ac:dyDescent="0.2"/>
  <cols>
    <col min="1" max="1" width="12.64453125" customWidth="1"/>
    <col min="2" max="3" width="12.5078125" customWidth="1"/>
    <col min="4" max="4" width="12.64453125" customWidth="1"/>
    <col min="5" max="5" width="12.5078125" customWidth="1"/>
    <col min="6" max="6" width="12.64453125" customWidth="1"/>
    <col min="7" max="8" width="12.5078125" customWidth="1"/>
    <col min="9" max="11" width="12.64453125" customWidth="1"/>
    <col min="12" max="14" width="12.5078125" customWidth="1"/>
    <col min="15" max="15" width="12.64453125" customWidth="1"/>
    <col min="16" max="16" width="12.5078125" customWidth="1"/>
    <col min="17" max="17" width="17.08203125" bestFit="1" customWidth="1"/>
    <col min="18" max="18" width="17.21875" bestFit="1" customWidth="1"/>
    <col min="19" max="19" width="5.6484375" customWidth="1"/>
    <col min="20" max="20" width="13.85546875" bestFit="1" customWidth="1"/>
  </cols>
  <sheetData>
    <row r="1" spans="1:24" ht="14.45" customHeight="1" x14ac:dyDescent="0.2">
      <c r="A1" s="15"/>
      <c r="B1" s="15"/>
      <c r="C1" s="41" t="s">
        <v>23</v>
      </c>
      <c r="D1" s="41"/>
      <c r="E1" s="41"/>
      <c r="F1" s="41"/>
      <c r="G1" s="41"/>
      <c r="H1" s="41"/>
      <c r="I1" s="41"/>
      <c r="J1" s="41"/>
      <c r="K1" s="41"/>
      <c r="L1" s="41"/>
      <c r="M1" s="41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">
      <c r="A2" s="15"/>
      <c r="B2" s="15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">
      <c r="A3" s="15"/>
      <c r="B3" s="15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">
      <c r="A4" s="15"/>
      <c r="B4" s="15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">
      <c r="A5" s="15"/>
      <c r="B5" s="15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">
      <c r="A6" s="15"/>
      <c r="B6" s="15"/>
      <c r="C6" s="15"/>
      <c r="D6" s="15"/>
      <c r="E6" s="15"/>
      <c r="F6" s="15"/>
      <c r="G6" s="42" t="s">
        <v>31</v>
      </c>
      <c r="H6" s="43"/>
      <c r="I6" s="43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45">
      <c r="A7" s="7"/>
      <c r="B7" s="7"/>
      <c r="C7" s="7"/>
      <c r="D7" s="7"/>
      <c r="E7" s="7"/>
      <c r="F7" s="7"/>
      <c r="G7" s="43"/>
      <c r="H7" s="43"/>
      <c r="I7" s="43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">
      <c r="A10" s="39" t="s">
        <v>15</v>
      </c>
      <c r="B10" s="39"/>
      <c r="C10" s="39"/>
      <c r="D10" s="39"/>
      <c r="E10" s="39"/>
      <c r="F10" s="39"/>
      <c r="G10" s="39"/>
      <c r="H10" s="39"/>
      <c r="I10" s="39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7.25" x14ac:dyDescent="0.2">
      <c r="A11" s="35" t="s">
        <v>11</v>
      </c>
      <c r="B11" s="35"/>
      <c r="C11" s="35"/>
      <c r="D11" s="35"/>
      <c r="E11" s="35"/>
      <c r="F11" s="35">
        <f>Finanzen!L2</f>
        <v>13</v>
      </c>
      <c r="G11" s="35"/>
      <c r="H11" s="35"/>
      <c r="I11" s="35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">
      <c r="A12" s="35" t="s">
        <v>18</v>
      </c>
      <c r="B12" s="35"/>
      <c r="C12" s="35"/>
      <c r="D12" s="35"/>
      <c r="E12" s="35"/>
      <c r="F12" s="51">
        <f>Finanzen!M2</f>
        <v>2</v>
      </c>
      <c r="G12" s="51"/>
      <c r="H12" s="51"/>
      <c r="I12" s="5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7.25" x14ac:dyDescent="0.2">
      <c r="A13" s="35" t="s">
        <v>19</v>
      </c>
      <c r="B13" s="35"/>
      <c r="C13" s="35"/>
      <c r="D13" s="35"/>
      <c r="E13" s="35"/>
      <c r="F13" s="40">
        <f>Finanzen!N2</f>
        <v>11</v>
      </c>
      <c r="G13" s="40"/>
      <c r="H13" s="40"/>
      <c r="I13" s="40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7.25" x14ac:dyDescent="0.2">
      <c r="A14" s="35" t="s">
        <v>6</v>
      </c>
      <c r="B14" s="35"/>
      <c r="C14" s="35"/>
      <c r="D14" s="35"/>
      <c r="E14" s="35"/>
      <c r="F14" s="35" t="str">
        <f>TEXT(Finanzen!M2/Finanzen!L2,"0,00%")</f>
        <v>15,38%</v>
      </c>
      <c r="G14" s="35"/>
      <c r="H14" s="35"/>
      <c r="I14" s="35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7.25" x14ac:dyDescent="0.2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7.25" x14ac:dyDescent="0.2">
      <c r="A16" s="39" t="s">
        <v>16</v>
      </c>
      <c r="B16" s="39"/>
      <c r="C16" s="39"/>
      <c r="D16" s="39"/>
      <c r="E16" s="39"/>
      <c r="F16" s="39"/>
      <c r="G16" s="39"/>
      <c r="H16" s="39"/>
      <c r="I16" s="39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7.25" x14ac:dyDescent="0.7">
      <c r="A17" s="35" t="s">
        <v>10</v>
      </c>
      <c r="B17" s="35"/>
      <c r="C17" s="35"/>
      <c r="D17" s="35"/>
      <c r="E17" s="35"/>
      <c r="F17" s="34">
        <f>SUM(Finanzen!D:D)</f>
        <v>1629.07</v>
      </c>
      <c r="G17" s="34"/>
      <c r="H17" s="34"/>
      <c r="I17" s="34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7.25" x14ac:dyDescent="0.7">
      <c r="A18" s="35" t="s">
        <v>21</v>
      </c>
      <c r="B18" s="35"/>
      <c r="C18" s="35"/>
      <c r="D18" s="35"/>
      <c r="E18" s="35"/>
      <c r="F18" s="34">
        <f>2002 + SUM(Finanzen!J:J)</f>
        <v>1841.0199999999998</v>
      </c>
      <c r="G18" s="34"/>
      <c r="H18" s="34"/>
      <c r="I18" s="34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8" thickBot="1" x14ac:dyDescent="0.25">
      <c r="A19" s="39" t="s">
        <v>17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7"/>
      <c r="Q19" s="7"/>
      <c r="R19" s="7"/>
      <c r="S19" s="7"/>
      <c r="T19" s="7"/>
      <c r="U19" s="7"/>
      <c r="V19" s="7"/>
      <c r="W19" s="7"/>
      <c r="X19" s="7"/>
    </row>
    <row r="20" spans="1:66" ht="47.25" x14ac:dyDescent="0.7">
      <c r="A20" s="46" t="s">
        <v>14</v>
      </c>
      <c r="B20" s="47"/>
      <c r="C20" s="48" t="s">
        <v>4</v>
      </c>
      <c r="D20" s="49"/>
      <c r="E20" s="50"/>
      <c r="F20" s="44" t="s">
        <v>12</v>
      </c>
      <c r="G20" s="45"/>
      <c r="H20" s="44" t="s">
        <v>20</v>
      </c>
      <c r="I20" s="45"/>
      <c r="J20" s="52" t="s">
        <v>13</v>
      </c>
      <c r="K20" s="45"/>
      <c r="L20" s="52" t="s">
        <v>5</v>
      </c>
      <c r="M20" s="45"/>
      <c r="N20" s="7"/>
      <c r="O20" s="7"/>
      <c r="P20" s="7"/>
      <c r="Q20" s="7"/>
      <c r="R20" s="7"/>
      <c r="S20" s="7"/>
      <c r="T20" s="7"/>
      <c r="U20" s="7"/>
      <c r="V20" s="7"/>
    </row>
    <row r="21" spans="1:66" ht="47.25" x14ac:dyDescent="0.7">
      <c r="A21" s="29">
        <v>1</v>
      </c>
      <c r="B21" s="30"/>
      <c r="C21" s="31" t="s">
        <v>25</v>
      </c>
      <c r="D21" s="32"/>
      <c r="E21" s="33"/>
      <c r="F21" s="13">
        <v>19</v>
      </c>
      <c r="G21" s="12" t="s">
        <v>30</v>
      </c>
      <c r="H21" s="14">
        <v>33</v>
      </c>
      <c r="I21" s="12" t="s">
        <v>29</v>
      </c>
      <c r="J21" s="14">
        <f>F21+H21</f>
        <v>52</v>
      </c>
      <c r="K21" s="12" t="s">
        <v>29</v>
      </c>
      <c r="L21" s="27" t="str">
        <f>TEXT(F21/J21,"0,00%")</f>
        <v>36,54%</v>
      </c>
      <c r="M21" s="28"/>
      <c r="N21" s="7"/>
      <c r="O21" s="7"/>
      <c r="P21" s="7"/>
      <c r="Q21" s="7"/>
      <c r="R21" s="7"/>
      <c r="S21" s="7"/>
      <c r="T21" s="7"/>
      <c r="U21" s="7"/>
      <c r="V21" s="7"/>
    </row>
    <row r="22" spans="1:66" ht="47.25" x14ac:dyDescent="0.7">
      <c r="A22" s="29">
        <v>1</v>
      </c>
      <c r="B22" s="30"/>
      <c r="C22" s="31" t="s">
        <v>27</v>
      </c>
      <c r="D22" s="32"/>
      <c r="E22" s="33"/>
      <c r="F22" s="23">
        <v>19</v>
      </c>
      <c r="G22" s="12" t="s">
        <v>30</v>
      </c>
      <c r="H22" s="24">
        <v>33</v>
      </c>
      <c r="I22" s="12" t="s">
        <v>29</v>
      </c>
      <c r="J22" s="24">
        <f>F22+H22</f>
        <v>52</v>
      </c>
      <c r="K22" s="12" t="s">
        <v>29</v>
      </c>
      <c r="L22" s="27" t="str">
        <f>TEXT(F22/J22,"0,00%")</f>
        <v>36,54%</v>
      </c>
      <c r="M22" s="28"/>
      <c r="N22" s="7"/>
      <c r="O22" s="7"/>
      <c r="P22" s="7"/>
      <c r="Q22" s="7"/>
      <c r="R22" s="7"/>
      <c r="S22" s="7"/>
      <c r="T22" s="7"/>
      <c r="U22" s="7"/>
      <c r="V22" s="7"/>
    </row>
    <row r="23" spans="1:66" ht="47.25" x14ac:dyDescent="0.7">
      <c r="A23" s="29">
        <v>2</v>
      </c>
      <c r="B23" s="30"/>
      <c r="C23" s="31" t="s">
        <v>26</v>
      </c>
      <c r="D23" s="32"/>
      <c r="E23" s="33"/>
      <c r="F23" s="13">
        <v>14</v>
      </c>
      <c r="G23" s="12" t="s">
        <v>30</v>
      </c>
      <c r="H23" s="14">
        <v>38</v>
      </c>
      <c r="I23" s="12" t="s">
        <v>29</v>
      </c>
      <c r="J23" s="14">
        <f>F23+H23</f>
        <v>52</v>
      </c>
      <c r="K23" s="12" t="s">
        <v>29</v>
      </c>
      <c r="L23" s="27" t="str">
        <f>TEXT(F23/J23,"0,00%")</f>
        <v>26,92%</v>
      </c>
      <c r="M23" s="28"/>
      <c r="N23" s="7"/>
      <c r="O23" s="7"/>
      <c r="P23" s="7"/>
      <c r="Q23" s="7"/>
      <c r="R23" s="7"/>
      <c r="S23" s="7"/>
      <c r="T23" s="7"/>
      <c r="U23" s="7"/>
      <c r="V23" s="7"/>
    </row>
    <row r="24" spans="1:66" ht="47.25" x14ac:dyDescent="0.7">
      <c r="A24" s="29">
        <v>2</v>
      </c>
      <c r="B24" s="30"/>
      <c r="C24" s="36" t="s">
        <v>24</v>
      </c>
      <c r="D24" s="37"/>
      <c r="E24" s="38"/>
      <c r="F24" s="20">
        <v>14</v>
      </c>
      <c r="G24" s="21" t="s">
        <v>30</v>
      </c>
      <c r="H24" s="22">
        <v>38</v>
      </c>
      <c r="I24" s="21" t="s">
        <v>29</v>
      </c>
      <c r="J24" s="22">
        <f>F24+H24</f>
        <v>52</v>
      </c>
      <c r="K24" s="21" t="s">
        <v>29</v>
      </c>
      <c r="L24" s="25" t="str">
        <f>TEXT(F24/J24,"0,00%")</f>
        <v>26,92%</v>
      </c>
      <c r="M24" s="26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2" spans="1:66" ht="26.25" customHeight="1" x14ac:dyDescent="0.2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A10:I10"/>
    <mergeCell ref="F13:I13"/>
    <mergeCell ref="C1:M5"/>
    <mergeCell ref="G6:I7"/>
    <mergeCell ref="F20:G20"/>
    <mergeCell ref="H20:I20"/>
    <mergeCell ref="A20:B20"/>
    <mergeCell ref="C20:E20"/>
    <mergeCell ref="F12:I12"/>
    <mergeCell ref="F11:I11"/>
    <mergeCell ref="A19:O19"/>
    <mergeCell ref="F17:I17"/>
    <mergeCell ref="L20:M20"/>
    <mergeCell ref="F14:I14"/>
    <mergeCell ref="A16:I16"/>
    <mergeCell ref="J20:K20"/>
    <mergeCell ref="F18:I18"/>
    <mergeCell ref="A17:E17"/>
    <mergeCell ref="C24:E24"/>
    <mergeCell ref="A11:E11"/>
    <mergeCell ref="A12:E12"/>
    <mergeCell ref="A13:E13"/>
    <mergeCell ref="A14:E14"/>
    <mergeCell ref="A21:B21"/>
    <mergeCell ref="A24:B24"/>
    <mergeCell ref="C22:E22"/>
    <mergeCell ref="A18:E18"/>
    <mergeCell ref="A22:B22"/>
    <mergeCell ref="L24:M24"/>
    <mergeCell ref="L22:M22"/>
    <mergeCell ref="A23:B23"/>
    <mergeCell ref="C21:E21"/>
    <mergeCell ref="C23:E23"/>
    <mergeCell ref="L23:M23"/>
    <mergeCell ref="L21:M21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4"/>
  <sheetViews>
    <sheetView zoomScaleNormal="100" workbookViewId="0">
      <pane ySplit="1" topLeftCell="A2" activePane="bottomLeft" state="frozen"/>
      <selection pane="bottomLeft" activeCell="K15" sqref="K15"/>
    </sheetView>
  </sheetViews>
  <sheetFormatPr defaultColWidth="9.14453125" defaultRowHeight="15" x14ac:dyDescent="0.2"/>
  <cols>
    <col min="1" max="1" width="11.296875" bestFit="1" customWidth="1"/>
    <col min="2" max="2" width="32.5546875" bestFit="1" customWidth="1"/>
    <col min="3" max="3" width="11.97265625" bestFit="1" customWidth="1"/>
    <col min="4" max="4" width="12.64453125" bestFit="1" customWidth="1"/>
    <col min="5" max="5" width="10.76171875" bestFit="1" customWidth="1"/>
    <col min="6" max="6" width="10.22265625" bestFit="1" customWidth="1"/>
    <col min="7" max="8" width="10.76171875" bestFit="1" customWidth="1"/>
    <col min="9" max="9" width="10.0859375" bestFit="1" customWidth="1"/>
    <col min="10" max="10" width="18.96484375" bestFit="1" customWidth="1"/>
    <col min="11" max="11" width="9.28125" bestFit="1" customWidth="1"/>
    <col min="12" max="12" width="13.1796875" bestFit="1" customWidth="1"/>
    <col min="13" max="13" width="11.296875" bestFit="1" customWidth="1"/>
    <col min="15" max="15" width="10.76171875" bestFit="1" customWidth="1"/>
  </cols>
  <sheetData>
    <row r="1" spans="1:15" ht="16.149999999999999" customHeight="1" thickBot="1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28</v>
      </c>
      <c r="J1" s="17" t="s">
        <v>22</v>
      </c>
      <c r="L1" t="s">
        <v>7</v>
      </c>
      <c r="M1" t="s">
        <v>8</v>
      </c>
      <c r="N1" t="s">
        <v>9</v>
      </c>
      <c r="O1" s="1"/>
    </row>
    <row r="2" spans="1:15" ht="15.75" thickTop="1" x14ac:dyDescent="0.2">
      <c r="A2" s="2">
        <v>1</v>
      </c>
      <c r="B2" s="3">
        <v>45786</v>
      </c>
      <c r="C2" s="4">
        <v>100.1</v>
      </c>
      <c r="D2" s="4">
        <v>1508.52</v>
      </c>
      <c r="E2" s="4">
        <v>75.430000000000007</v>
      </c>
      <c r="F2" s="4">
        <v>75.430000000000007</v>
      </c>
      <c r="G2" s="4">
        <v>75.430000000000007</v>
      </c>
      <c r="H2" s="4">
        <v>75.430000000000007</v>
      </c>
      <c r="I2" s="4">
        <v>150.85</v>
      </c>
      <c r="J2" s="18">
        <f t="shared" ref="J2:J14" si="0">D2-C2-F2-E2-G2-H2-I2</f>
        <v>955.8499999999998</v>
      </c>
      <c r="L2" s="5">
        <f>COUNTA(A:A)-1</f>
        <v>13</v>
      </c>
      <c r="M2" s="5">
        <f>COUNTIF(D:D,"&gt;0")</f>
        <v>2</v>
      </c>
      <c r="N2" s="5">
        <f>COUNTIF(D:D,"0")</f>
        <v>11</v>
      </c>
    </row>
    <row r="3" spans="1:15" x14ac:dyDescent="0.2">
      <c r="A3" s="2">
        <f t="shared" ref="A3:A8" si="1">A2+1</f>
        <v>2</v>
      </c>
      <c r="B3" s="3">
        <v>45793</v>
      </c>
      <c r="C3" s="4">
        <v>100.1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19">
        <f t="shared" si="0"/>
        <v>-100.1</v>
      </c>
    </row>
    <row r="4" spans="1:15" x14ac:dyDescent="0.2">
      <c r="A4" s="2">
        <f t="shared" si="1"/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19">
        <f t="shared" si="0"/>
        <v>-100.1</v>
      </c>
    </row>
    <row r="5" spans="1:15" x14ac:dyDescent="0.2">
      <c r="A5" s="2">
        <f t="shared" si="1"/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19">
        <f t="shared" si="0"/>
        <v>-100.1</v>
      </c>
    </row>
    <row r="6" spans="1:15" x14ac:dyDescent="0.2">
      <c r="A6" s="2">
        <f t="shared" si="1"/>
        <v>5</v>
      </c>
      <c r="B6" s="3">
        <v>45814</v>
      </c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19">
        <f t="shared" si="0"/>
        <v>-100.1</v>
      </c>
    </row>
    <row r="7" spans="1:15" x14ac:dyDescent="0.2">
      <c r="A7" s="2">
        <f t="shared" si="1"/>
        <v>6</v>
      </c>
      <c r="B7" s="3">
        <v>45821</v>
      </c>
      <c r="C7" s="4">
        <v>100.1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19">
        <f t="shared" si="0"/>
        <v>-100.1</v>
      </c>
    </row>
    <row r="8" spans="1:15" x14ac:dyDescent="0.2">
      <c r="A8" s="2">
        <f t="shared" si="1"/>
        <v>7</v>
      </c>
      <c r="B8" s="3">
        <v>45828</v>
      </c>
      <c r="C8" s="4">
        <v>100.1</v>
      </c>
      <c r="D8" s="4">
        <v>120.55</v>
      </c>
      <c r="E8" s="4">
        <v>6.03</v>
      </c>
      <c r="F8" s="4">
        <v>6.03</v>
      </c>
      <c r="G8" s="4">
        <v>6.03</v>
      </c>
      <c r="H8" s="4">
        <v>6.03</v>
      </c>
      <c r="I8" s="4">
        <v>12.06</v>
      </c>
      <c r="J8" s="19">
        <f t="shared" si="0"/>
        <v>-15.73</v>
      </c>
    </row>
    <row r="9" spans="1:15" x14ac:dyDescent="0.2">
      <c r="A9" s="2">
        <f>A8+1</f>
        <v>8</v>
      </c>
      <c r="B9" s="3">
        <v>45835</v>
      </c>
      <c r="C9" s="4">
        <v>100.1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19">
        <f t="shared" si="0"/>
        <v>-100.1</v>
      </c>
    </row>
    <row r="10" spans="1:15" x14ac:dyDescent="0.2">
      <c r="A10" s="2">
        <f>A9+1</f>
        <v>9</v>
      </c>
      <c r="B10" s="3">
        <v>45842</v>
      </c>
      <c r="C10" s="4">
        <v>100.1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19">
        <f t="shared" si="0"/>
        <v>-100.1</v>
      </c>
    </row>
    <row r="11" spans="1:15" x14ac:dyDescent="0.2">
      <c r="A11" s="2">
        <f>A10+1</f>
        <v>10</v>
      </c>
      <c r="B11" s="3">
        <v>45849</v>
      </c>
      <c r="C11" s="4">
        <v>100.1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19">
        <f t="shared" si="0"/>
        <v>-100.1</v>
      </c>
    </row>
    <row r="12" spans="1:15" x14ac:dyDescent="0.2">
      <c r="A12" s="2">
        <f>A11+1</f>
        <v>11</v>
      </c>
      <c r="B12" s="3">
        <v>45856</v>
      </c>
      <c r="C12" s="4">
        <v>100.1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19">
        <f t="shared" si="0"/>
        <v>-100.1</v>
      </c>
    </row>
    <row r="13" spans="1:15" x14ac:dyDescent="0.2">
      <c r="A13" s="2">
        <f>A12+1</f>
        <v>12</v>
      </c>
      <c r="B13" s="3">
        <v>45863</v>
      </c>
      <c r="C13" s="4">
        <v>100.1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19">
        <f t="shared" si="0"/>
        <v>-100.1</v>
      </c>
    </row>
    <row r="14" spans="1:15" x14ac:dyDescent="0.2">
      <c r="A14" s="2">
        <f>A13+1</f>
        <v>13</v>
      </c>
      <c r="B14" s="3">
        <v>45870</v>
      </c>
      <c r="C14" s="4">
        <v>100.1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19">
        <f t="shared" si="0"/>
        <v>-100.1</v>
      </c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Excel iOS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2025-07-28T17:36:22Z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