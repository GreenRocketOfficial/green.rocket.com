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520" documentId="13_ncr:1_{32BD3745-769A-4363-92E4-3EACA8D86657}" xr6:coauthVersionLast="47" xr6:coauthVersionMax="47" xr10:uidLastSave="{999A421F-AAEE-49E8-BBEE-66D0CA467901}"/>
  <bookViews>
    <workbookView xWindow="11895" yWindow="0" windowWidth="12210" windowHeight="12885" xr2:uid="{01A82109-CFE8-4870-8A32-C4C48630416A}"/>
  </bookViews>
  <sheets>
    <sheet name="Dashboard" sheetId="12" r:id="rId1"/>
    <sheet name="Finanzen" sheetId="11" state="hidden" r:id="rId2"/>
  </sheets>
  <definedNames>
    <definedName name="_xlnm._FilterDatabase" localSheetId="1" hidden="1">Finanzen!$J$1:$J$2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8" i="11" l="1"/>
  <c r="A8" i="11"/>
  <c r="J7" i="11"/>
  <c r="A7" i="11"/>
  <c r="J6" i="11"/>
  <c r="A6" i="11"/>
  <c r="J5" i="11"/>
  <c r="A5" i="11"/>
  <c r="J4" i="11"/>
  <c r="F18" i="12" s="1"/>
  <c r="J3" i="11"/>
  <c r="A4" i="11"/>
  <c r="J2" i="11"/>
  <c r="A3" i="11"/>
  <c r="F17" i="12"/>
  <c r="J23" i="12"/>
  <c r="L23" i="12" s="1"/>
  <c r="J21" i="12"/>
  <c r="L21" i="12" s="1"/>
  <c r="J24" i="12"/>
  <c r="L24" i="12" s="1"/>
  <c r="J22" i="12"/>
  <c r="L22" i="12" s="1"/>
  <c r="N2" i="11" l="1"/>
  <c r="F13" i="12" s="1"/>
  <c r="M2" i="11"/>
  <c r="F12" i="12" s="1"/>
  <c r="L2" i="11" l="1"/>
  <c r="F14" i="12" s="1"/>
  <c r="F11" i="12" l="1"/>
</calcChain>
</file>

<file path=xl/sharedStrings.xml><?xml version="1.0" encoding="utf-8"?>
<sst xmlns="http://schemas.openxmlformats.org/spreadsheetml/2006/main" count="46" uniqueCount="38">
  <si>
    <t>Datum</t>
  </si>
  <si>
    <t>Schein</t>
  </si>
  <si>
    <t>Einsatz</t>
  </si>
  <si>
    <t>Gewinn</t>
  </si>
  <si>
    <t>Mitarbeiter</t>
  </si>
  <si>
    <t>Quote</t>
  </si>
  <si>
    <t>Gewinnquote:</t>
  </si>
  <si>
    <t>Anzahl</t>
  </si>
  <si>
    <t>Gewonnen</t>
  </si>
  <si>
    <t>Verloren</t>
  </si>
  <si>
    <t>Umsatz:</t>
  </si>
  <si>
    <t>Scheine (gesamt):</t>
  </si>
  <si>
    <t>richtig</t>
  </si>
  <si>
    <t>gesamt</t>
  </si>
  <si>
    <t>Rang</t>
  </si>
  <si>
    <t>Scheine</t>
  </si>
  <si>
    <t>Finanzen</t>
  </si>
  <si>
    <t>Rangliste</t>
  </si>
  <si>
    <t>Gewonnen:</t>
  </si>
  <si>
    <t>Verloren:</t>
  </si>
  <si>
    <t>falsch</t>
  </si>
  <si>
    <t>Geldpool:</t>
  </si>
  <si>
    <t>DE005</t>
  </si>
  <si>
    <t>DE006</t>
  </si>
  <si>
    <t>DE007</t>
  </si>
  <si>
    <t>DE008</t>
  </si>
  <si>
    <t>GuV</t>
  </si>
  <si>
    <t>Statistik Division 3</t>
  </si>
  <si>
    <t>DE009</t>
  </si>
  <si>
    <t>DE010</t>
  </si>
  <si>
    <t>DE011</t>
  </si>
  <si>
    <t>DE012</t>
  </si>
  <si>
    <t>Leiter</t>
  </si>
  <si>
    <t>+ 4</t>
  </si>
  <si>
    <t>+ 1</t>
  </si>
  <si>
    <t>+ 3</t>
  </si>
  <si>
    <t>+ 2</t>
  </si>
  <si>
    <t>Stand: 24.06.2025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</si>
</sst>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[$-F800]dddd\,\ mmmm\ dd\,\ yyyy"/>
  </numFmts>
  <fonts count="14" x14ac:knownFonts="1">
    <font>
      <sz val="11"/>
      <color theme="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36"/>
      <name val="Aptos Narrow"/>
      <family val="2"/>
      <scheme val="minor"/>
    </font>
    <font>
      <b/>
      <sz val="36"/>
      <color rgb="FFFF0000"/>
      <name val="Aptos Narrow"/>
      <family val="2"/>
      <scheme val="minor"/>
    </font>
    <font>
      <sz val="48"/>
      <color theme="1"/>
      <name val="Franklin Gothic Heavy"/>
      <family val="2"/>
    </font>
    <font>
      <b/>
      <sz val="36"/>
      <color theme="9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Franklin Gothic Heavy"/>
      <family val="2"/>
    </font>
    <font>
      <b/>
      <sz val="12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3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/>
    <xf numFmtId="8" fontId="4" fillId="0" borderId="0" xfId="0" applyNumberFormat="1" applyFon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4" fontId="0" fillId="3" borderId="0" xfId="0" applyNumberFormat="1" applyFill="1"/>
    <xf numFmtId="49" fontId="10" fillId="3" borderId="5" xfId="0" applyNumberFormat="1" applyFont="1" applyFill="1" applyBorder="1"/>
    <xf numFmtId="49" fontId="10" fillId="3" borderId="7" xfId="0" applyNumberFormat="1" applyFont="1" applyFill="1" applyBorder="1"/>
    <xf numFmtId="0" fontId="8" fillId="3" borderId="4" xfId="0" applyFont="1" applyFill="1" applyBorder="1"/>
    <xf numFmtId="0" fontId="8" fillId="3" borderId="6" xfId="0" applyFont="1" applyFill="1" applyBorder="1"/>
    <xf numFmtId="0" fontId="6" fillId="3" borderId="4" xfId="0" applyFont="1" applyFill="1" applyBorder="1"/>
    <xf numFmtId="0" fontId="6" fillId="3" borderId="6" xfId="0" applyFont="1" applyFill="1" applyBorder="1"/>
    <xf numFmtId="0" fontId="7" fillId="3" borderId="0" xfId="0" applyFont="1" applyFill="1" applyAlignment="1">
      <alignment vertical="center"/>
    </xf>
    <xf numFmtId="0" fontId="11" fillId="3" borderId="0" xfId="0" applyFont="1" applyFill="1"/>
    <xf numFmtId="0" fontId="13" fillId="4" borderId="16" xfId="0" applyFont="1" applyFill="1" applyBorder="1"/>
    <xf numFmtId="8" fontId="4" fillId="5" borderId="17" xfId="0" applyNumberFormat="1" applyFont="1" applyFill="1" applyBorder="1"/>
    <xf numFmtId="8" fontId="0" fillId="0" borderId="0" xfId="0" applyNumberFormat="1"/>
    <xf numFmtId="9" fontId="10" fillId="3" borderId="13" xfId="3" applyFont="1" applyFill="1" applyBorder="1" applyAlignment="1">
      <alignment horizontal="center" vertical="center"/>
    </xf>
    <xf numFmtId="9" fontId="10" fillId="3" borderId="14" xfId="3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10" fillId="3" borderId="8" xfId="0" quotePrefix="1" applyFont="1" applyFill="1" applyBorder="1" applyAlignment="1">
      <alignment horizontal="center"/>
    </xf>
    <xf numFmtId="0" fontId="10" fillId="3" borderId="9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9" fontId="10" fillId="3" borderId="11" xfId="3" applyFont="1" applyFill="1" applyBorder="1" applyAlignment="1">
      <alignment horizontal="center" vertical="center"/>
    </xf>
    <xf numFmtId="9" fontId="10" fillId="3" borderId="12" xfId="3" applyFont="1" applyFill="1" applyBorder="1" applyAlignment="1">
      <alignment horizontal="center" vertical="center"/>
    </xf>
    <xf numFmtId="44" fontId="10" fillId="3" borderId="0" xfId="1" applyFont="1" applyFill="1" applyBorder="1" applyAlignment="1">
      <alignment horizontal="center"/>
    </xf>
    <xf numFmtId="0" fontId="10" fillId="3" borderId="8" xfId="0" applyFont="1" applyFill="1" applyBorder="1" applyAlignment="1">
      <alignment horizontal="center"/>
    </xf>
    <xf numFmtId="0" fontId="9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right" vertical="center"/>
    </xf>
    <xf numFmtId="0" fontId="10" fillId="3" borderId="6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5" fillId="3" borderId="6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3" borderId="0" xfId="0" applyFont="1" applyFill="1" applyAlignment="1">
      <alignment horizontal="right" vertical="center"/>
    </xf>
  </cellXfs>
  <cellStyles count="4">
    <cellStyle name="Prozent" xfId="3" builtinId="5"/>
    <cellStyle name="Standard" xfId="0" builtinId="0"/>
    <cellStyle name="Währung" xfId="1" builtinId="4"/>
    <cellStyle name="Währung 2" xfId="2" xr:uid="{5D335E9B-5089-4037-926C-630BC5E34893}"/>
  </cellStyles>
  <dxfs count="1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141514</xdr:rowOff>
    </xdr:from>
    <xdr:to>
      <xdr:col>1</xdr:col>
      <xdr:colOff>236965</xdr:colOff>
      <xdr:row>6</xdr:row>
      <xdr:rowOff>117021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D1F4057-6365-4D49-B6AA-D181D5B2C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514"/>
          <a:ext cx="1094215" cy="1118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03EAD-FCD1-41E9-9F29-AD875E11F573}" name="Datenbank" displayName="Datenbank" ref="A1:I8" totalsRowShown="0" headerRowDxfId="14" dataDxfId="13">
  <autoFilter ref="A1:I8" xr:uid="{88D03EAD-FCD1-41E9-9F29-AD875E11F573}"/>
  <tableColumns count="9">
    <tableColumn id="1" xr3:uid="{A3BD6718-E357-48A5-BF52-93E1862EA006}" name="Schein" dataDxfId="12">
      <calculatedColumnFormula>A1+1</calculatedColumnFormula>
    </tableColumn>
    <tableColumn id="2" xr3:uid="{AAC5DE87-86DB-49A9-B08E-17847DCCB29D}" name="Datum" dataDxfId="11"/>
    <tableColumn id="3" xr3:uid="{5EDCD2AF-46FF-4983-B496-F15DA7A71693}" name="Einsatz" dataDxfId="10"/>
    <tableColumn id="4" xr3:uid="{8B5073FD-5EB5-4C76-AEB5-C4FC4244985D}" name="Gewinn" dataDxfId="9"/>
    <tableColumn id="6" xr3:uid="{0CC11F64-2722-43BD-96D8-11D3926704EB}" name="DE005" dataDxfId="8"/>
    <tableColumn id="7" xr3:uid="{5E213DFF-7615-48CF-8944-4C071C187C55}" name="DE006" dataDxfId="7"/>
    <tableColumn id="8" xr3:uid="{265603BC-E9E1-462B-9A6D-C0F306480253}" name="DE007" dataDxfId="6"/>
    <tableColumn id="9" xr3:uid="{8305AF6F-BFE9-4D5B-8B01-3CF39FA2D0B3}" name="DE008" dataDxfId="5"/>
    <tableColumn id="10" xr3:uid="{C69C42F8-942E-4D0C-ADEC-2A260C5FF4AA}" name="Leiter" dataDxfId="4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C6CC93-89BF-4AA3-8F87-5C8965A8DF9E}" name="Tabelle9" displayName="Tabelle9" ref="L1:N2" totalsRowShown="0" dataDxfId="3">
  <autoFilter ref="L1:N2" xr:uid="{04C6CC93-89BF-4AA3-8F87-5C8965A8DF9E}"/>
  <tableColumns count="3">
    <tableColumn id="1" xr3:uid="{0558E104-A40A-4522-9B19-B3974FD08947}" name="Anzahl" dataDxfId="2">
      <calculatedColumnFormula>COUNTA(A:A)-1</calculatedColumnFormula>
    </tableColumn>
    <tableColumn id="2" xr3:uid="{BA768224-99CC-42C9-9909-936745F76227}" name="Gewonnen" dataDxfId="1">
      <calculatedColumnFormula>COUNTIF(D:D,"&gt;0")</calculatedColumnFormula>
    </tableColumn>
    <tableColumn id="3" xr3:uid="{3A4EA694-FB28-4059-8EEE-CC6EE941C405}" name="Verloren" dataDxfId="0">
      <calculatedColumnFormula>COUNTIF(D:D,"0")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A50F-1F11-4277-A53C-107CF77B425C}">
  <sheetPr codeName="Tabelle1">
    <pageSetUpPr fitToPage="1"/>
  </sheetPr>
  <dimension ref="A1:BN98"/>
  <sheetViews>
    <sheetView showGridLines="0" tabSelected="1" zoomScale="50" zoomScaleNormal="50" workbookViewId="0">
      <pane ySplit="9" topLeftCell="A10" activePane="bottomLeft" state="frozen"/>
      <selection activeCell="Z33" sqref="Z33"/>
      <selection pane="bottomLeft" activeCell="K14" sqref="K14"/>
    </sheetView>
  </sheetViews>
  <sheetFormatPr baseColWidth="10" defaultRowHeight="15" x14ac:dyDescent="0.25"/>
  <cols>
    <col min="1" max="1" width="12.7109375" customWidth="1"/>
    <col min="2" max="3" width="12.5703125" customWidth="1"/>
    <col min="4" max="4" width="12.7109375" customWidth="1"/>
    <col min="5" max="5" width="12.5703125" customWidth="1"/>
    <col min="6" max="6" width="12.7109375" customWidth="1"/>
    <col min="7" max="8" width="12.5703125" customWidth="1"/>
    <col min="9" max="11" width="12.7109375" customWidth="1"/>
    <col min="12" max="14" width="12.5703125" customWidth="1"/>
    <col min="15" max="15" width="12.7109375" customWidth="1"/>
    <col min="16" max="16" width="12.5703125" customWidth="1"/>
    <col min="17" max="17" width="17.140625" bestFit="1" customWidth="1"/>
    <col min="18" max="18" width="17.28515625" bestFit="1" customWidth="1"/>
    <col min="19" max="19" width="5.7109375" customWidth="1"/>
    <col min="20" max="20" width="13.85546875" bestFit="1" customWidth="1"/>
  </cols>
  <sheetData>
    <row r="1" spans="1:24" ht="14.45" customHeight="1" x14ac:dyDescent="0.25">
      <c r="A1" s="18"/>
      <c r="B1" s="18"/>
      <c r="C1" s="48" t="s">
        <v>27</v>
      </c>
      <c r="D1" s="48"/>
      <c r="E1" s="48"/>
      <c r="F1" s="48"/>
      <c r="G1" s="48"/>
      <c r="H1" s="48"/>
      <c r="I1" s="48"/>
      <c r="J1" s="48"/>
      <c r="K1" s="48"/>
      <c r="L1" s="48"/>
      <c r="M1" s="48"/>
      <c r="N1" s="18"/>
      <c r="O1" s="18"/>
      <c r="P1" s="18"/>
      <c r="Q1" s="18"/>
      <c r="R1" s="18"/>
      <c r="S1" s="18"/>
      <c r="T1" s="18"/>
      <c r="U1" s="18"/>
      <c r="V1" s="7"/>
      <c r="W1" s="7"/>
      <c r="X1" s="7"/>
    </row>
    <row r="2" spans="1:24" ht="14.45" customHeight="1" x14ac:dyDescent="0.25">
      <c r="A2" s="18"/>
      <c r="B2" s="18"/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18"/>
      <c r="O2" s="18"/>
      <c r="P2" s="18"/>
      <c r="Q2" s="18"/>
      <c r="R2" s="18"/>
      <c r="S2" s="18"/>
      <c r="T2" s="18"/>
      <c r="U2" s="18"/>
      <c r="V2" s="7"/>
      <c r="W2" s="7"/>
      <c r="X2" s="7"/>
    </row>
    <row r="3" spans="1:24" ht="14.45" customHeight="1" x14ac:dyDescent="0.25">
      <c r="A3" s="18"/>
      <c r="B3" s="1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18"/>
      <c r="O3" s="18"/>
      <c r="P3" s="18"/>
      <c r="Q3" s="18"/>
      <c r="R3" s="18"/>
      <c r="S3" s="18"/>
      <c r="T3" s="18"/>
      <c r="U3" s="18"/>
      <c r="V3" s="7"/>
      <c r="W3" s="7"/>
      <c r="X3" s="7"/>
    </row>
    <row r="4" spans="1:24" ht="14.45" customHeight="1" x14ac:dyDescent="0.25">
      <c r="A4" s="18"/>
      <c r="B4" s="18"/>
      <c r="C4" s="48"/>
      <c r="D4" s="48"/>
      <c r="E4" s="48"/>
      <c r="F4" s="48"/>
      <c r="G4" s="48"/>
      <c r="H4" s="48"/>
      <c r="I4" s="48"/>
      <c r="J4" s="48"/>
      <c r="K4" s="48"/>
      <c r="L4" s="48"/>
      <c r="M4" s="48"/>
      <c r="N4" s="18"/>
      <c r="O4" s="18"/>
      <c r="P4" s="18"/>
      <c r="Q4" s="18"/>
      <c r="R4" s="18"/>
      <c r="S4" s="18"/>
      <c r="T4" s="18"/>
      <c r="U4" s="18"/>
      <c r="V4" s="7"/>
      <c r="W4" s="7"/>
      <c r="X4" s="7"/>
    </row>
    <row r="5" spans="1:24" ht="14.45" customHeight="1" x14ac:dyDescent="0.25">
      <c r="A5" s="18"/>
      <c r="B5" s="1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18"/>
      <c r="O5" s="18"/>
      <c r="P5" s="18"/>
      <c r="Q5" s="18"/>
      <c r="R5" s="18"/>
      <c r="S5" s="18"/>
      <c r="T5" s="18"/>
      <c r="U5" s="18"/>
      <c r="V5" s="7"/>
      <c r="W5" s="7"/>
      <c r="X5" s="7"/>
    </row>
    <row r="6" spans="1:24" ht="14.45" customHeight="1" x14ac:dyDescent="0.25">
      <c r="A6" s="18"/>
      <c r="B6" s="18"/>
      <c r="C6" s="18"/>
      <c r="D6" s="18"/>
      <c r="E6" s="18"/>
      <c r="F6" s="18"/>
      <c r="G6" s="49" t="s">
        <v>37</v>
      </c>
      <c r="H6" s="50"/>
      <c r="I6" s="50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7"/>
      <c r="W6" s="7"/>
      <c r="X6" s="7"/>
    </row>
    <row r="7" spans="1:24" ht="15" customHeight="1" x14ac:dyDescent="0.5">
      <c r="A7" s="7"/>
      <c r="B7" s="7"/>
      <c r="C7" s="7"/>
      <c r="D7" s="7"/>
      <c r="E7" s="7"/>
      <c r="F7" s="7"/>
      <c r="G7" s="50"/>
      <c r="H7" s="50"/>
      <c r="I7" s="50"/>
      <c r="J7" s="19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ht="8.4499999999999993" customHeight="1" x14ac:dyDescent="0.25">
      <c r="A8" s="8"/>
      <c r="B8" s="8"/>
      <c r="C8" s="8"/>
      <c r="D8" s="8"/>
      <c r="E8" s="8"/>
      <c r="F8" s="8"/>
      <c r="G8" s="8"/>
      <c r="H8" s="8"/>
      <c r="I8" s="8"/>
      <c r="J8" s="7"/>
      <c r="K8" s="7"/>
      <c r="L8" s="7"/>
      <c r="M8" s="8"/>
      <c r="N8" s="8"/>
      <c r="O8" s="8"/>
      <c r="P8" s="8"/>
      <c r="Q8" s="8"/>
      <c r="R8" s="8"/>
      <c r="S8" s="8"/>
      <c r="T8" s="7"/>
      <c r="U8" s="7"/>
      <c r="V8" s="7"/>
      <c r="W8" s="7"/>
      <c r="X8" s="7"/>
    </row>
    <row r="9" spans="1:24" ht="4.9000000000000004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ht="43.5" customHeight="1" x14ac:dyDescent="0.25">
      <c r="A10" s="41" t="s">
        <v>15</v>
      </c>
      <c r="B10" s="41"/>
      <c r="C10" s="41"/>
      <c r="D10" s="41"/>
      <c r="E10" s="41"/>
      <c r="F10" s="41"/>
      <c r="G10" s="41"/>
      <c r="H10" s="41"/>
      <c r="I10" s="41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ht="46.5" x14ac:dyDescent="0.25">
      <c r="A11" s="51" t="s">
        <v>11</v>
      </c>
      <c r="B11" s="51"/>
      <c r="C11" s="51"/>
      <c r="D11" s="51"/>
      <c r="E11" s="51"/>
      <c r="F11" s="51">
        <f>Finanzen!L2</f>
        <v>7</v>
      </c>
      <c r="G11" s="51"/>
      <c r="H11" s="51"/>
      <c r="I11" s="51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ht="41.25" customHeight="1" x14ac:dyDescent="0.25">
      <c r="A12" s="51" t="s">
        <v>18</v>
      </c>
      <c r="B12" s="51"/>
      <c r="C12" s="51"/>
      <c r="D12" s="51"/>
      <c r="E12" s="51"/>
      <c r="F12" s="52">
        <f>Finanzen!M2</f>
        <v>2</v>
      </c>
      <c r="G12" s="52"/>
      <c r="H12" s="52"/>
      <c r="I12" s="52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ht="46.5" x14ac:dyDescent="0.25">
      <c r="A13" s="51" t="s">
        <v>19</v>
      </c>
      <c r="B13" s="51"/>
      <c r="C13" s="51"/>
      <c r="D13" s="51"/>
      <c r="E13" s="51"/>
      <c r="F13" s="42">
        <f>Finanzen!N2</f>
        <v>5</v>
      </c>
      <c r="G13" s="42"/>
      <c r="H13" s="42"/>
      <c r="I13" s="42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4" ht="46.5" x14ac:dyDescent="0.25">
      <c r="A14" s="51" t="s">
        <v>6</v>
      </c>
      <c r="B14" s="51"/>
      <c r="C14" s="51"/>
      <c r="D14" s="51"/>
      <c r="E14" s="51"/>
      <c r="F14" s="51" t="str">
        <f>TEXT(Finanzen!M2/Finanzen!L2,"0,00%")</f>
        <v>28,57%</v>
      </c>
      <c r="G14" s="51"/>
      <c r="H14" s="51"/>
      <c r="I14" s="51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4" ht="46.5" x14ac:dyDescent="0.25">
      <c r="A15" s="7"/>
      <c r="B15" s="9"/>
      <c r="C15" s="9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4" ht="46.5" x14ac:dyDescent="0.25">
      <c r="A16" s="41" t="s">
        <v>16</v>
      </c>
      <c r="B16" s="41"/>
      <c r="C16" s="41"/>
      <c r="D16" s="41"/>
      <c r="E16" s="41"/>
      <c r="F16" s="41"/>
      <c r="G16" s="41"/>
      <c r="H16" s="41"/>
      <c r="I16" s="41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66" ht="46.5" x14ac:dyDescent="0.7">
      <c r="A17" s="51" t="s">
        <v>10</v>
      </c>
      <c r="B17" s="51"/>
      <c r="C17" s="51"/>
      <c r="D17" s="51"/>
      <c r="E17" s="51"/>
      <c r="F17" s="39">
        <f>SUM(Finanzen!D:D)</f>
        <v>1629.07</v>
      </c>
      <c r="G17" s="39"/>
      <c r="H17" s="39"/>
      <c r="I17" s="39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66" ht="46.5" x14ac:dyDescent="0.7">
      <c r="A18" s="51" t="s">
        <v>21</v>
      </c>
      <c r="B18" s="51"/>
      <c r="C18" s="51"/>
      <c r="D18" s="51"/>
      <c r="E18" s="51"/>
      <c r="F18" s="39">
        <f>2002 + SUM(Finanzen!J:J)</f>
        <v>2441.62</v>
      </c>
      <c r="G18" s="39"/>
      <c r="H18" s="39"/>
      <c r="I18" s="39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66" ht="47.25" thickBot="1" x14ac:dyDescent="0.3">
      <c r="A19" s="41" t="s">
        <v>17</v>
      </c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7"/>
      <c r="Q19" s="7"/>
      <c r="R19" s="7"/>
      <c r="S19" s="7"/>
      <c r="T19" s="7"/>
      <c r="U19" s="7"/>
      <c r="V19" s="7"/>
      <c r="W19" s="7"/>
      <c r="X19" s="7"/>
    </row>
    <row r="20" spans="1:66" ht="46.5" x14ac:dyDescent="0.7">
      <c r="A20" s="32" t="s">
        <v>14</v>
      </c>
      <c r="B20" s="33"/>
      <c r="C20" s="34" t="s">
        <v>4</v>
      </c>
      <c r="D20" s="35"/>
      <c r="E20" s="36"/>
      <c r="F20" s="30" t="s">
        <v>12</v>
      </c>
      <c r="G20" s="31"/>
      <c r="H20" s="30" t="s">
        <v>20</v>
      </c>
      <c r="I20" s="31"/>
      <c r="J20" s="40" t="s">
        <v>13</v>
      </c>
      <c r="K20" s="31"/>
      <c r="L20" s="40" t="s">
        <v>5</v>
      </c>
      <c r="M20" s="31"/>
      <c r="N20" s="7"/>
      <c r="O20" s="7"/>
      <c r="P20" s="7"/>
      <c r="Q20" s="7"/>
      <c r="R20" s="7"/>
      <c r="S20" s="7"/>
      <c r="T20" s="7"/>
      <c r="U20" s="7"/>
      <c r="V20" s="7"/>
    </row>
    <row r="21" spans="1:66" ht="46.5" x14ac:dyDescent="0.7">
      <c r="A21" s="25">
        <v>1</v>
      </c>
      <c r="B21" s="26"/>
      <c r="C21" s="27" t="s">
        <v>29</v>
      </c>
      <c r="D21" s="28"/>
      <c r="E21" s="29"/>
      <c r="F21" s="14">
        <v>14</v>
      </c>
      <c r="G21" s="12" t="s">
        <v>36</v>
      </c>
      <c r="H21" s="16">
        <v>14</v>
      </c>
      <c r="I21" s="12" t="s">
        <v>36</v>
      </c>
      <c r="J21" s="16">
        <f>F21+H21</f>
        <v>28</v>
      </c>
      <c r="K21" s="12" t="s">
        <v>33</v>
      </c>
      <c r="L21" s="37" t="str">
        <f>TEXT(F21/J21,"0,00%")</f>
        <v>50,00%</v>
      </c>
      <c r="M21" s="38"/>
      <c r="N21" s="7"/>
      <c r="O21" s="7"/>
      <c r="P21" s="7"/>
      <c r="Q21" s="7"/>
      <c r="R21" s="7"/>
      <c r="S21" s="7"/>
      <c r="T21" s="7"/>
      <c r="U21" s="7"/>
      <c r="V21" s="7"/>
    </row>
    <row r="22" spans="1:66" ht="46.5" x14ac:dyDescent="0.7">
      <c r="A22" s="25">
        <v>2</v>
      </c>
      <c r="B22" s="26"/>
      <c r="C22" s="27" t="s">
        <v>30</v>
      </c>
      <c r="D22" s="28"/>
      <c r="E22" s="29"/>
      <c r="F22" s="14">
        <v>11</v>
      </c>
      <c r="G22" s="12" t="s">
        <v>35</v>
      </c>
      <c r="H22" s="16">
        <v>17</v>
      </c>
      <c r="I22" s="12" t="s">
        <v>34</v>
      </c>
      <c r="J22" s="16">
        <f>F22+H22</f>
        <v>28</v>
      </c>
      <c r="K22" s="12" t="s">
        <v>33</v>
      </c>
      <c r="L22" s="37" t="str">
        <f>TEXT(F22/J22,"0,00%")</f>
        <v>39,29%</v>
      </c>
      <c r="M22" s="38"/>
      <c r="N22" s="7"/>
      <c r="O22" s="7"/>
      <c r="P22" s="7"/>
      <c r="Q22" s="7"/>
      <c r="R22" s="7"/>
      <c r="S22" s="7"/>
      <c r="T22" s="7"/>
      <c r="U22" s="7"/>
      <c r="V22" s="7"/>
    </row>
    <row r="23" spans="1:66" ht="46.5" x14ac:dyDescent="0.7">
      <c r="A23" s="25">
        <v>3</v>
      </c>
      <c r="B23" s="26"/>
      <c r="C23" s="27" t="s">
        <v>28</v>
      </c>
      <c r="D23" s="28"/>
      <c r="E23" s="29"/>
      <c r="F23" s="14">
        <v>9</v>
      </c>
      <c r="G23" s="12" t="s">
        <v>34</v>
      </c>
      <c r="H23" s="16">
        <v>19</v>
      </c>
      <c r="I23" s="12" t="s">
        <v>35</v>
      </c>
      <c r="J23" s="16">
        <f>F23+H23</f>
        <v>28</v>
      </c>
      <c r="K23" s="12" t="s">
        <v>33</v>
      </c>
      <c r="L23" s="37" t="str">
        <f>TEXT(F23/J23,"0,00%")</f>
        <v>32,14%</v>
      </c>
      <c r="M23" s="38"/>
      <c r="N23" s="7"/>
      <c r="O23" s="7"/>
      <c r="P23" s="7"/>
      <c r="Q23" s="7"/>
      <c r="R23" s="7"/>
      <c r="S23" s="7"/>
      <c r="T23" s="7"/>
      <c r="U23" s="7"/>
      <c r="V23" s="7"/>
    </row>
    <row r="24" spans="1:66" ht="47.25" thickBot="1" x14ac:dyDescent="0.75">
      <c r="A24" s="43">
        <v>3</v>
      </c>
      <c r="B24" s="44"/>
      <c r="C24" s="45" t="s">
        <v>31</v>
      </c>
      <c r="D24" s="46"/>
      <c r="E24" s="47"/>
      <c r="F24" s="15">
        <v>9</v>
      </c>
      <c r="G24" s="13" t="s">
        <v>35</v>
      </c>
      <c r="H24" s="17">
        <v>19</v>
      </c>
      <c r="I24" s="13" t="s">
        <v>34</v>
      </c>
      <c r="J24" s="17">
        <f>F24+H24</f>
        <v>28</v>
      </c>
      <c r="K24" s="13" t="s">
        <v>33</v>
      </c>
      <c r="L24" s="23" t="str">
        <f>TEXT(F24/J24,"0,00%")</f>
        <v>32,14%</v>
      </c>
      <c r="M24" s="24"/>
      <c r="N24" s="7"/>
      <c r="O24" s="7"/>
      <c r="P24" s="7"/>
      <c r="Q24" s="7"/>
      <c r="R24" s="7"/>
      <c r="S24" s="7"/>
      <c r="T24" s="7"/>
      <c r="U24" s="7"/>
      <c r="V24" s="7"/>
    </row>
    <row r="25" spans="1:66" ht="15" customHeight="1" x14ac:dyDescent="0.25">
      <c r="A25" s="7"/>
      <c r="B25" s="10"/>
      <c r="C25" s="10"/>
      <c r="D25" s="10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11"/>
    </row>
    <row r="26" spans="1:66" ht="15" customHeight="1" x14ac:dyDescent="0.25">
      <c r="A26" s="10"/>
      <c r="B26" s="10"/>
      <c r="C26" s="10"/>
      <c r="D26" s="10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66" ht="15" customHeight="1" x14ac:dyDescent="0.25">
      <c r="A27" s="10"/>
      <c r="B27" s="10"/>
      <c r="C27" s="10"/>
      <c r="D27" s="10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66" s="6" customFormat="1" ht="10.5" customHeight="1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</row>
    <row r="29" spans="1:66" x14ac:dyDescent="0.25">
      <c r="A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66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2" spans="1:66" ht="26.25" customHeight="1" x14ac:dyDescent="0.25">
      <c r="A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5">
      <c r="A34" s="7"/>
      <c r="B34" s="7"/>
      <c r="C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26.25" customHeight="1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3.9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5" customHeight="1" x14ac:dyDescent="0.25">
      <c r="A43" s="7"/>
      <c r="B43" s="7"/>
      <c r="C43" s="7"/>
      <c r="D43" s="7"/>
      <c r="E43" s="7"/>
      <c r="F43" s="7"/>
      <c r="G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</row>
    <row r="44" spans="1:24" ht="15" customHeight="1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</row>
    <row r="45" spans="1:24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</row>
    <row r="46" spans="1:24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4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4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x14ac:dyDescent="0.25"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x14ac:dyDescent="0.25"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x14ac:dyDescent="0.25"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</row>
    <row r="57" spans="1:2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</row>
    <row r="58" spans="1:2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1:2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</row>
    <row r="60" spans="1:2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</row>
    <row r="61" spans="1:2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</row>
    <row r="62" spans="1:2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</row>
    <row r="63" spans="1:2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</row>
    <row r="64" spans="1:2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</row>
    <row r="65" spans="1:2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</row>
    <row r="66" spans="1:2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</row>
    <row r="67" spans="1:2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</row>
    <row r="68" spans="1:2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</row>
    <row r="69" spans="1:2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</row>
    <row r="70" spans="1:2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</row>
    <row r="71" spans="1:2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</row>
    <row r="72" spans="1:2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1:2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</row>
    <row r="74" spans="1:2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</row>
    <row r="75" spans="1:2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</row>
    <row r="76" spans="1:2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</row>
    <row r="77" spans="1:2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</row>
    <row r="78" spans="1:2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</row>
    <row r="79" spans="1:2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</row>
    <row r="80" spans="1:21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</row>
    <row r="81" spans="1:21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</row>
    <row r="82" spans="1:21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</row>
    <row r="83" spans="1:21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</row>
    <row r="84" spans="1:21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</row>
    <row r="85" spans="1:21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</row>
    <row r="86" spans="1:21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</row>
    <row r="87" spans="1:21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</row>
    <row r="88" spans="1:21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</row>
    <row r="89" spans="1:2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</row>
    <row r="90" spans="1:21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</row>
    <row r="91" spans="1:21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</row>
    <row r="92" spans="1:21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</row>
    <row r="93" spans="1:21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</row>
    <row r="94" spans="1:21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</row>
    <row r="95" spans="1:21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</row>
    <row r="96" spans="1:21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</row>
    <row r="97" spans="1:21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</row>
    <row r="98" spans="1:21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</sheetData>
  <mergeCells count="35">
    <mergeCell ref="F14:I14"/>
    <mergeCell ref="A16:I16"/>
    <mergeCell ref="A18:E18"/>
    <mergeCell ref="A21:B21"/>
    <mergeCell ref="A10:I10"/>
    <mergeCell ref="F13:I13"/>
    <mergeCell ref="A24:B24"/>
    <mergeCell ref="C24:E24"/>
    <mergeCell ref="C1:M5"/>
    <mergeCell ref="G6:I7"/>
    <mergeCell ref="L23:M23"/>
    <mergeCell ref="A17:E17"/>
    <mergeCell ref="C23:E23"/>
    <mergeCell ref="A11:E11"/>
    <mergeCell ref="A12:E12"/>
    <mergeCell ref="A13:E13"/>
    <mergeCell ref="A14:E14"/>
    <mergeCell ref="F12:I12"/>
    <mergeCell ref="F11:I11"/>
    <mergeCell ref="A19:O19"/>
    <mergeCell ref="F17:I17"/>
    <mergeCell ref="L20:M20"/>
    <mergeCell ref="J20:K20"/>
    <mergeCell ref="F18:I18"/>
    <mergeCell ref="A22:B22"/>
    <mergeCell ref="L24:M24"/>
    <mergeCell ref="A23:B23"/>
    <mergeCell ref="C21:E21"/>
    <mergeCell ref="C22:E22"/>
    <mergeCell ref="F20:G20"/>
    <mergeCell ref="H20:I20"/>
    <mergeCell ref="A20:B20"/>
    <mergeCell ref="C20:E20"/>
    <mergeCell ref="L22:M22"/>
    <mergeCell ref="L21:M21"/>
  </mergeCells>
  <pageMargins left="0.70866141732283472" right="0.70866141732283472" top="0.78740157480314965" bottom="0.78740157480314965" header="0.31496062992125984" footer="0.31496062992125984"/>
  <pageSetup paperSize="8" scale="2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F058-FE04-46AA-A705-935E602EA711}">
  <sheetPr codeName="Tabelle4"/>
  <dimension ref="A1:O8"/>
  <sheetViews>
    <sheetView zoomScale="90" zoomScaleNormal="90" workbookViewId="0">
      <pane ySplit="1" topLeftCell="A2" activePane="bottomLeft" state="frozen"/>
      <selection pane="bottomLeft" activeCell="A12" sqref="A12"/>
    </sheetView>
  </sheetViews>
  <sheetFormatPr baseColWidth="10" defaultColWidth="9.140625" defaultRowHeight="15" x14ac:dyDescent="0.25"/>
  <cols>
    <col min="1" max="1" width="11.28515625" bestFit="1" customWidth="1"/>
    <col min="2" max="2" width="32.5703125" bestFit="1" customWidth="1"/>
    <col min="3" max="3" width="12" bestFit="1" customWidth="1"/>
    <col min="4" max="4" width="12.7109375" bestFit="1" customWidth="1"/>
    <col min="5" max="5" width="10.7109375" bestFit="1" customWidth="1"/>
    <col min="6" max="6" width="10.28515625" bestFit="1" customWidth="1"/>
    <col min="7" max="8" width="10.7109375" bestFit="1" customWidth="1"/>
    <col min="9" max="9" width="10.140625" bestFit="1" customWidth="1"/>
    <col min="10" max="10" width="19" bestFit="1" customWidth="1"/>
    <col min="11" max="11" width="9.28515625" bestFit="1" customWidth="1"/>
    <col min="12" max="12" width="13.140625" bestFit="1" customWidth="1"/>
    <col min="13" max="13" width="11.28515625" bestFit="1" customWidth="1"/>
    <col min="15" max="15" width="10.7109375" bestFit="1" customWidth="1"/>
  </cols>
  <sheetData>
    <row r="1" spans="1:15" ht="16.149999999999999" customHeight="1" thickBot="1" x14ac:dyDescent="0.3">
      <c r="A1" s="1" t="s">
        <v>1</v>
      </c>
      <c r="B1" s="1" t="s">
        <v>0</v>
      </c>
      <c r="C1" s="1" t="s">
        <v>2</v>
      </c>
      <c r="D1" s="1" t="s">
        <v>3</v>
      </c>
      <c r="E1" s="1" t="s">
        <v>22</v>
      </c>
      <c r="F1" s="1" t="s">
        <v>23</v>
      </c>
      <c r="G1" s="1" t="s">
        <v>24</v>
      </c>
      <c r="H1" s="1" t="s">
        <v>25</v>
      </c>
      <c r="I1" s="1" t="s">
        <v>32</v>
      </c>
      <c r="J1" s="20" t="s">
        <v>26</v>
      </c>
      <c r="L1" t="s">
        <v>7</v>
      </c>
      <c r="M1" t="s">
        <v>8</v>
      </c>
      <c r="N1" t="s">
        <v>9</v>
      </c>
      <c r="O1" s="1"/>
    </row>
    <row r="2" spans="1:15" ht="16.5" thickTop="1" x14ac:dyDescent="0.25">
      <c r="A2" s="2">
        <v>1</v>
      </c>
      <c r="B2" s="3">
        <v>45786</v>
      </c>
      <c r="C2" s="4">
        <v>100.1</v>
      </c>
      <c r="D2" s="4">
        <v>1508.52</v>
      </c>
      <c r="E2" s="4">
        <v>75.430000000000007</v>
      </c>
      <c r="F2" s="4">
        <v>75.430000000000007</v>
      </c>
      <c r="G2" s="4">
        <v>75.430000000000007</v>
      </c>
      <c r="H2" s="4">
        <v>75.430000000000007</v>
      </c>
      <c r="I2" s="4">
        <v>150.85</v>
      </c>
      <c r="J2" s="21">
        <f t="shared" ref="J2:J8" si="0">D2-C2-F2-E2-G2-H2-I2</f>
        <v>955.8499999999998</v>
      </c>
      <c r="L2" s="5">
        <f>COUNTA(A:A)-1</f>
        <v>7</v>
      </c>
      <c r="M2" s="5">
        <f>COUNTIF(D:D,"&gt;0")</f>
        <v>2</v>
      </c>
      <c r="N2" s="5">
        <f>COUNTIF(D:D,"0")</f>
        <v>5</v>
      </c>
    </row>
    <row r="3" spans="1:15" ht="15.75" x14ac:dyDescent="0.25">
      <c r="A3" s="2">
        <f>A2+1</f>
        <v>2</v>
      </c>
      <c r="B3" s="3">
        <v>45793</v>
      </c>
      <c r="C3" s="4">
        <v>100.1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22">
        <f t="shared" si="0"/>
        <v>-100.1</v>
      </c>
    </row>
    <row r="4" spans="1:15" ht="15.75" x14ac:dyDescent="0.25">
      <c r="A4" s="2">
        <f>A3+1</f>
        <v>3</v>
      </c>
      <c r="B4" s="3">
        <v>45800</v>
      </c>
      <c r="C4" s="4">
        <v>100.1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22">
        <f t="shared" si="0"/>
        <v>-100.1</v>
      </c>
    </row>
    <row r="5" spans="1:15" ht="15.75" x14ac:dyDescent="0.25">
      <c r="A5" s="2">
        <f>A4+1</f>
        <v>4</v>
      </c>
      <c r="B5" s="3">
        <v>45807</v>
      </c>
      <c r="C5" s="4">
        <v>100.1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22">
        <f t="shared" si="0"/>
        <v>-100.1</v>
      </c>
    </row>
    <row r="6" spans="1:15" ht="15.75" x14ac:dyDescent="0.25">
      <c r="A6" s="2">
        <f>A5+1</f>
        <v>5</v>
      </c>
      <c r="B6" s="3">
        <v>45814</v>
      </c>
      <c r="C6" s="4">
        <v>100.1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22">
        <f t="shared" si="0"/>
        <v>-100.1</v>
      </c>
    </row>
    <row r="7" spans="1:15" ht="15.75" x14ac:dyDescent="0.25">
      <c r="A7" s="2">
        <f>A6+1</f>
        <v>6</v>
      </c>
      <c r="B7" s="3">
        <v>45821</v>
      </c>
      <c r="C7" s="4">
        <v>100.1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22">
        <f t="shared" si="0"/>
        <v>-100.1</v>
      </c>
    </row>
    <row r="8" spans="1:15" ht="15.75" x14ac:dyDescent="0.25">
      <c r="A8" s="2">
        <f>A7+1</f>
        <v>7</v>
      </c>
      <c r="B8" s="3">
        <v>45828</v>
      </c>
      <c r="C8" s="4">
        <v>100.1</v>
      </c>
      <c r="D8" s="4">
        <v>120.55</v>
      </c>
      <c r="E8" s="4">
        <v>6.03</v>
      </c>
      <c r="F8" s="4">
        <v>6.03</v>
      </c>
      <c r="G8" s="4">
        <v>6.03</v>
      </c>
      <c r="H8" s="4">
        <v>6.03</v>
      </c>
      <c r="I8" s="4">
        <v>12.06</v>
      </c>
      <c r="J8" s="22">
        <f t="shared" si="0"/>
        <v>-15.73</v>
      </c>
    </row>
  </sheetData>
  <autoFilter ref="J1:J2" xr:uid="{D1BCF058-FE04-46AA-A705-935E602EA711}"/>
  <pageMargins left="0.7" right="0.7" top="0.78740157499999996" bottom="0.78740157499999996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Dashboard</vt:lpstr>
      <vt:lpstr>Finanzen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2025-03-30T20:16:36Z</cp:lastPrinted>
  <dcterms:created xsi:type="dcterms:W3CDTF">2024-07-09T08:21:37Z</dcterms:created>
  <dcterms:modified xsi:type="dcterms:W3CDTF">2025-06-24T16:30:26Z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